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peczw-my.sharepoint.com/personal/ckondenga_ipec_co_zw/Documents/Documents/2022/Circular on Audited fin stats/2021 Audited Fin Stats/"/>
    </mc:Choice>
  </mc:AlternateContent>
  <xr:revisionPtr revIDLastSave="674" documentId="13_ncr:1_{DD18808E-3DB4-48F2-88F7-405929CAE114}" xr6:coauthVersionLast="47" xr6:coauthVersionMax="47" xr10:uidLastSave="{6BEB679F-CE8C-4815-9B6D-36DCA0F39313}"/>
  <bookViews>
    <workbookView xWindow="-108" yWindow="-108" windowWidth="23256" windowHeight="12456" xr2:uid="{00000000-000D-0000-FFFF-FFFF00000000}"/>
  </bookViews>
  <sheets>
    <sheet name="Details" sheetId="13" r:id="rId1"/>
    <sheet name="Statement of Financial Position" sheetId="2" r:id="rId2"/>
    <sheet name="Statement of Comprehensive Inco" sheetId="3" r:id="rId3"/>
    <sheet name="Offshore investments" sheetId="12" r:id="rId4"/>
    <sheet name="Statement of Cash Flows" sheetId="6" r:id="rId5"/>
    <sheet name="Membership Statistics" sheetId="7" r:id="rId6"/>
    <sheet name="Debtors aged analysis" sheetId="8" r:id="rId7"/>
    <sheet name="Unclaimed benefits aged analysi" sheetId="9" r:id="rId8"/>
    <sheet name="Prescribed Assets" sheetId="10" r:id="rId9"/>
    <sheet name="Sponsoring employers cont arrea" sheetId="11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6" l="1"/>
  <c r="E38" i="7"/>
  <c r="D38" i="7"/>
  <c r="C38" i="7"/>
  <c r="B38" i="7"/>
  <c r="E31" i="7"/>
  <c r="D31" i="7"/>
  <c r="C31" i="7"/>
  <c r="B31" i="7"/>
  <c r="E20" i="7"/>
  <c r="D20" i="7"/>
  <c r="C20" i="7"/>
  <c r="B20" i="7"/>
  <c r="E9" i="7"/>
  <c r="D9" i="7"/>
  <c r="C9" i="7"/>
  <c r="B9" i="7"/>
  <c r="F91" i="2" l="1"/>
  <c r="E91" i="2"/>
  <c r="D91" i="2"/>
  <c r="C91" i="2"/>
  <c r="D44" i="12"/>
  <c r="C44" i="12"/>
  <c r="D35" i="12"/>
  <c r="C35" i="12"/>
  <c r="D22" i="12"/>
  <c r="C22" i="12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I31" i="10"/>
  <c r="H31" i="10"/>
  <c r="G31" i="10"/>
  <c r="F31" i="10"/>
  <c r="I19" i="10"/>
  <c r="H19" i="10"/>
  <c r="G19" i="10"/>
  <c r="F19" i="10"/>
  <c r="D18" i="9"/>
  <c r="D17" i="9"/>
  <c r="C10" i="8"/>
  <c r="E56" i="6"/>
  <c r="D56" i="6"/>
  <c r="C56" i="6"/>
  <c r="E15" i="6"/>
  <c r="E41" i="6" s="1"/>
  <c r="E59" i="6" s="1"/>
  <c r="C15" i="6"/>
  <c r="C41" i="6" s="1"/>
  <c r="E78" i="3"/>
  <c r="F78" i="3"/>
  <c r="D78" i="3"/>
  <c r="C78" i="3"/>
  <c r="E32" i="3"/>
  <c r="F32" i="3"/>
  <c r="D32" i="3"/>
  <c r="C32" i="3"/>
  <c r="F70" i="2"/>
  <c r="E70" i="2"/>
  <c r="D70" i="2"/>
  <c r="C70" i="2"/>
  <c r="E59" i="2"/>
  <c r="F59" i="2"/>
  <c r="D59" i="2"/>
  <c r="C59" i="2"/>
  <c r="E49" i="2"/>
  <c r="F49" i="2"/>
  <c r="D49" i="2"/>
  <c r="C49" i="2"/>
  <c r="E35" i="2"/>
  <c r="F35" i="2"/>
  <c r="D35" i="2"/>
  <c r="C35" i="2"/>
  <c r="E17" i="2"/>
  <c r="F17" i="2"/>
  <c r="D17" i="2"/>
  <c r="C17" i="2"/>
  <c r="F15" i="6"/>
  <c r="F41" i="6" s="1"/>
  <c r="D15" i="6"/>
  <c r="D41" i="6" s="1"/>
  <c r="D59" i="6" s="1"/>
  <c r="A17" i="6"/>
  <c r="D10" i="8"/>
  <c r="C59" i="6" l="1"/>
  <c r="C61" i="6" s="1"/>
  <c r="A26" i="6"/>
  <c r="A27" i="6" s="1"/>
  <c r="A28" i="6" s="1"/>
  <c r="A29" i="6" s="1"/>
  <c r="A30" i="6" s="1"/>
  <c r="A31" i="6" s="1"/>
  <c r="A32" i="6" s="1"/>
  <c r="A33" i="6" s="1"/>
  <c r="A34" i="6" s="1"/>
  <c r="A35" i="6" s="1"/>
  <c r="C80" i="3"/>
  <c r="C93" i="2"/>
  <c r="E61" i="2"/>
  <c r="C61" i="2"/>
  <c r="D61" i="2"/>
  <c r="F93" i="2"/>
  <c r="E93" i="2"/>
  <c r="F61" i="2"/>
  <c r="C46" i="12"/>
  <c r="D46" i="12"/>
  <c r="F56" i="6"/>
  <c r="F59" i="6" s="1"/>
  <c r="A17" i="3"/>
  <c r="A18" i="3" s="1"/>
  <c r="A19" i="3" s="1"/>
  <c r="A23" i="3" s="1"/>
  <c r="A24" i="3" s="1"/>
  <c r="A25" i="3" s="1"/>
  <c r="A26" i="3" s="1"/>
  <c r="A27" i="3" s="1"/>
  <c r="A10" i="2"/>
  <c r="A11" i="2" s="1"/>
  <c r="A12" i="2" s="1"/>
  <c r="A13" i="2" s="1"/>
  <c r="A36" i="6" l="1"/>
  <c r="A37" i="6" s="1"/>
  <c r="A44" i="6" s="1"/>
  <c r="A45" i="6" s="1"/>
  <c r="A46" i="6" s="1"/>
  <c r="A47" i="6" s="1"/>
  <c r="A48" i="6" s="1"/>
  <c r="A49" i="6" s="1"/>
  <c r="A50" i="6" s="1"/>
  <c r="A51" i="6" s="1"/>
  <c r="A52" i="6" s="1"/>
  <c r="D80" i="3"/>
  <c r="F61" i="6"/>
  <c r="E61" i="6"/>
  <c r="A35" i="3"/>
  <c r="A46" i="3" s="1"/>
  <c r="A47" i="3" s="1"/>
  <c r="A48" i="3" s="1"/>
  <c r="A61" i="3" s="1"/>
  <c r="A62" i="3" s="1"/>
  <c r="D93" i="2"/>
  <c r="D61" i="6"/>
  <c r="E80" i="3"/>
  <c r="A20" i="2"/>
  <c r="A21" i="2" s="1"/>
  <c r="A24" i="2" s="1"/>
  <c r="A27" i="2" s="1"/>
  <c r="A28" i="2" s="1"/>
  <c r="A29" i="2" s="1"/>
  <c r="A30" i="2" s="1"/>
  <c r="A31" i="2" s="1"/>
  <c r="A38" i="2" l="1"/>
  <c r="A63" i="3"/>
  <c r="A64" i="3" s="1"/>
  <c r="A65" i="3" s="1"/>
  <c r="F80" i="3"/>
  <c r="A42" i="2" l="1"/>
  <c r="A43" i="2" s="1"/>
  <c r="A44" i="2" s="1"/>
  <c r="A45" i="2" s="1"/>
  <c r="A52" i="2" s="1"/>
  <c r="A53" i="2" s="1"/>
  <c r="A54" i="2" s="1"/>
  <c r="A55" i="2" s="1"/>
  <c r="A65" i="2" s="1"/>
  <c r="A66" i="3"/>
  <c r="A67" i="3" s="1"/>
  <c r="A68" i="3" s="1"/>
  <c r="A69" i="3" s="1"/>
  <c r="A66" i="2" l="1"/>
  <c r="A67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6" i="2" s="1"/>
  <c r="A7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Alouis Munyaradzi</author>
  </authors>
  <commentList>
    <comment ref="A2" authorId="0" shapeId="0" xr:uid="{7B59F3A0-BC17-4F9B-A347-67F3ECB1CE49}">
      <text>
        <r>
          <rPr>
            <b/>
            <sz val="9"/>
            <color indexed="81"/>
            <rFont val="Tahoma"/>
            <family val="2"/>
          </rPr>
          <t>Alouis Munyaradzi: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<sst xmlns="http://schemas.openxmlformats.org/spreadsheetml/2006/main" count="444" uniqueCount="244">
  <si>
    <t>Administrator Name</t>
  </si>
  <si>
    <t>Insurer/ Pension Fund Name</t>
  </si>
  <si>
    <t>Contact Person</t>
  </si>
  <si>
    <t>Name of Official Completing the Return:</t>
  </si>
  <si>
    <t>Designation:</t>
  </si>
  <si>
    <t>Name of Reviewer:</t>
  </si>
  <si>
    <t>Reporting Date</t>
  </si>
  <si>
    <t xml:space="preserve">Type of Administration </t>
  </si>
  <si>
    <t>Financial Year</t>
  </si>
  <si>
    <t>XXX Pension Fund</t>
  </si>
  <si>
    <t>Statement of financial position as at 31 December 2021</t>
  </si>
  <si>
    <t>Inflation Adjusted</t>
  </si>
  <si>
    <t>Historical</t>
  </si>
  <si>
    <t>Assets</t>
  </si>
  <si>
    <t>A</t>
  </si>
  <si>
    <t>Operating Assets</t>
  </si>
  <si>
    <t>Property</t>
  </si>
  <si>
    <t>Motor vehicles</t>
  </si>
  <si>
    <t>Furniture and equipment</t>
  </si>
  <si>
    <t>Computer systems and hardware</t>
  </si>
  <si>
    <t>Other (specify):</t>
  </si>
  <si>
    <t>i</t>
  </si>
  <si>
    <t>XXX</t>
  </si>
  <si>
    <t>ii</t>
  </si>
  <si>
    <t>iii</t>
  </si>
  <si>
    <t>Total Operating assets</t>
  </si>
  <si>
    <t>B</t>
  </si>
  <si>
    <t>Non-current Investments</t>
  </si>
  <si>
    <t>Investment property</t>
  </si>
  <si>
    <t>Equities</t>
  </si>
  <si>
    <t>quoted:</t>
  </si>
  <si>
    <t>unquoted</t>
  </si>
  <si>
    <t>Prescribed assets</t>
  </si>
  <si>
    <t>government bonds</t>
  </si>
  <si>
    <t>other prescribed assets</t>
  </si>
  <si>
    <t>Bonds</t>
  </si>
  <si>
    <t>Loans and mortgages on property</t>
  </si>
  <si>
    <t>Staff loans and mortgages</t>
  </si>
  <si>
    <t>Long term deposits</t>
  </si>
  <si>
    <t>Total Non current investment assets</t>
  </si>
  <si>
    <t>C</t>
  </si>
  <si>
    <t>Current assets</t>
  </si>
  <si>
    <t>treasury bills</t>
  </si>
  <si>
    <t>Money market investments</t>
  </si>
  <si>
    <t>Cash on hand and at bank</t>
  </si>
  <si>
    <t>Total current assets</t>
  </si>
  <si>
    <t>D</t>
  </si>
  <si>
    <t>SUNDRY DEBTORS</t>
  </si>
  <si>
    <t>Contribution arrears</t>
  </si>
  <si>
    <t>Rental arrears</t>
  </si>
  <si>
    <t>Investment income receivable</t>
  </si>
  <si>
    <t>Total sundry debtors</t>
  </si>
  <si>
    <t>Total assets</t>
  </si>
  <si>
    <t>Reserves and liabilities</t>
  </si>
  <si>
    <t>E</t>
  </si>
  <si>
    <t>Reserves</t>
  </si>
  <si>
    <t>Stabilisation/ Bonus Smoothing Reserve</t>
  </si>
  <si>
    <t>Tenants deposit</t>
  </si>
  <si>
    <t>Any other reserves (specify):</t>
  </si>
  <si>
    <t>Total reserves</t>
  </si>
  <si>
    <t>F</t>
  </si>
  <si>
    <t>Liabilities</t>
  </si>
  <si>
    <t>Active members</t>
  </si>
  <si>
    <t>Pensioners</t>
  </si>
  <si>
    <t>Deferred pensioners</t>
  </si>
  <si>
    <t>Pending exits</t>
  </si>
  <si>
    <t>Unclaimed benefits</t>
  </si>
  <si>
    <t>Suspended pensioners</t>
  </si>
  <si>
    <t>Arrear pension benefits</t>
  </si>
  <si>
    <t>Current tax</t>
  </si>
  <si>
    <t>Deffered tax</t>
  </si>
  <si>
    <t>Provisions (specify):</t>
  </si>
  <si>
    <t>Total liabilities</t>
  </si>
  <si>
    <t>Total reserves and Liabilities</t>
  </si>
  <si>
    <t>Preparer's Name (Finance Director, Finance Manager)</t>
  </si>
  <si>
    <t>Signature</t>
  </si>
  <si>
    <t>Head of Pension Fund/Principal Officer</t>
  </si>
  <si>
    <t>Chairman of Trustees</t>
  </si>
  <si>
    <t>Statement of comprehensive income.</t>
  </si>
  <si>
    <t>For the year ended 31 December 2021</t>
  </si>
  <si>
    <t>Income</t>
  </si>
  <si>
    <t>Contributions</t>
  </si>
  <si>
    <t>by members:</t>
  </si>
  <si>
    <t>(a)Normal</t>
  </si>
  <si>
    <t>(b)Voluntary</t>
  </si>
  <si>
    <t>by employers</t>
  </si>
  <si>
    <t>(b)Special</t>
  </si>
  <si>
    <t>GLA premiums</t>
  </si>
  <si>
    <t>iv</t>
  </si>
  <si>
    <t>Interest on contribution arears</t>
  </si>
  <si>
    <t>Amounts transferred from other funds</t>
  </si>
  <si>
    <t>Amounts received on life insurance claims</t>
  </si>
  <si>
    <t>Investment income</t>
  </si>
  <si>
    <t>Interest</t>
  </si>
  <si>
    <t>Dividends</t>
  </si>
  <si>
    <t>Rent</t>
  </si>
  <si>
    <t>Gain on re-measurement of property</t>
  </si>
  <si>
    <t>Unrealised fair value gain on financial assets</t>
  </si>
  <si>
    <t>Realised gain on sale/redemption of investments</t>
  </si>
  <si>
    <t>Net monetary gain</t>
  </si>
  <si>
    <t>Other income (specify)</t>
  </si>
  <si>
    <t>Total Income</t>
  </si>
  <si>
    <t>Expenses</t>
  </si>
  <si>
    <t>Benefits</t>
  </si>
  <si>
    <t>Pensions</t>
  </si>
  <si>
    <t>to members</t>
  </si>
  <si>
    <t>to surviving spouse</t>
  </si>
  <si>
    <t>to children and other dependants</t>
  </si>
  <si>
    <t>One third commutation</t>
  </si>
  <si>
    <t>Lump sum awards on death</t>
  </si>
  <si>
    <t>Lump sum awards on withdrawal/resignation</t>
  </si>
  <si>
    <t>v</t>
  </si>
  <si>
    <t>Lump sum awards on retirement and retrenchment</t>
  </si>
  <si>
    <t>vi</t>
  </si>
  <si>
    <t>Lumpsum award on life cover</t>
  </si>
  <si>
    <t>vii</t>
  </si>
  <si>
    <t xml:space="preserve">Ex gratia payments </t>
  </si>
  <si>
    <t>GLA Premiums paid</t>
  </si>
  <si>
    <t>Fines and Penalties</t>
  </si>
  <si>
    <t>Administration expenditure</t>
  </si>
  <si>
    <t>Staff costs</t>
  </si>
  <si>
    <t>Administration expenses</t>
  </si>
  <si>
    <t>Investment expenses</t>
  </si>
  <si>
    <t>Property expenses</t>
  </si>
  <si>
    <t>Actuarial fees</t>
  </si>
  <si>
    <t>Audit fees</t>
  </si>
  <si>
    <t>Board expenses</t>
  </si>
  <si>
    <t>IPEC levies</t>
  </si>
  <si>
    <t>Bank charges</t>
  </si>
  <si>
    <t>Custodial fees</t>
  </si>
  <si>
    <t>Legal fees</t>
  </si>
  <si>
    <t>Other administration expenses</t>
  </si>
  <si>
    <t>Amounts transferred to other funds</t>
  </si>
  <si>
    <t>Realised loss on sale/redemption of assets</t>
  </si>
  <si>
    <t>Loss on re-measurement of investment property</t>
  </si>
  <si>
    <t>Unrealised fair value loss on financial assets</t>
  </si>
  <si>
    <t>Amortisation, depreciation and impairement of assets</t>
  </si>
  <si>
    <t>Net monetary loss</t>
  </si>
  <si>
    <t>Taxes</t>
  </si>
  <si>
    <t>Provision for actuarial liabilities</t>
  </si>
  <si>
    <t>Provisions for impairment loss on debtors(specify):</t>
  </si>
  <si>
    <t>Other expenses (specify):</t>
  </si>
  <si>
    <t>Total Expenses</t>
  </si>
  <si>
    <t>Surplus/ Deficit</t>
  </si>
  <si>
    <t>Offshore investments as at 31 December 2021 (US$ Values)</t>
  </si>
  <si>
    <t>US$</t>
  </si>
  <si>
    <t>Statement of Cash Flows</t>
  </si>
  <si>
    <t>Cash flow from operating activities</t>
  </si>
  <si>
    <t>Cash flows from membership activities</t>
  </si>
  <si>
    <t>Cash received from contributions</t>
  </si>
  <si>
    <t>Benefits paid</t>
  </si>
  <si>
    <t>Cash transferred from other funds</t>
  </si>
  <si>
    <t>Cash transferred to other funds</t>
  </si>
  <si>
    <t>Net cash flows from membership activities</t>
  </si>
  <si>
    <t xml:space="preserve">Cashflows  collected from other activities </t>
  </si>
  <si>
    <t>Rent received</t>
  </si>
  <si>
    <t>Interest received</t>
  </si>
  <si>
    <t>Dividends received</t>
  </si>
  <si>
    <t>Other operating income (specify)</t>
  </si>
  <si>
    <t>Other operating expenses (specify):</t>
  </si>
  <si>
    <t>Net cash generated from operating activities</t>
  </si>
  <si>
    <t>Cash flow from investing activities</t>
  </si>
  <si>
    <t>Additions to operating assets</t>
  </si>
  <si>
    <t>Additions to investment property</t>
  </si>
  <si>
    <t>Purchase of financial assets</t>
  </si>
  <si>
    <t>Disposal of operating assets</t>
  </si>
  <si>
    <t>Disposal of investment property</t>
  </si>
  <si>
    <t>Disposal of financial assets</t>
  </si>
  <si>
    <t>Investment expenses paid</t>
  </si>
  <si>
    <t>Property expenses paid</t>
  </si>
  <si>
    <t>Other investing activities (specify):</t>
  </si>
  <si>
    <t>Net cash inflows/ (outflows) from investing activities</t>
  </si>
  <si>
    <t>Net cash inflow for the year</t>
  </si>
  <si>
    <t>Cash and cash equivalents at the beginning of the year</t>
  </si>
  <si>
    <t>Cash and cash equivalents at the end of the year</t>
  </si>
  <si>
    <t>Membership Statistics for the year ended 31 December 2021</t>
  </si>
  <si>
    <t>In Zimbabwe</t>
  </si>
  <si>
    <t>Outside Zimbabwe</t>
  </si>
  <si>
    <t>1.  Number of principal members at beginning of year</t>
  </si>
  <si>
    <t>Number of beneficiaries at the beginning of the year</t>
  </si>
  <si>
    <t>TOTAL</t>
  </si>
  <si>
    <t>2. Principal Membership as at end of year</t>
  </si>
  <si>
    <t>(a) new entrants for the year</t>
  </si>
  <si>
    <t>(b) active members¹</t>
  </si>
  <si>
    <t>(c) deferred pensioners</t>
  </si>
  <si>
    <t>(d) pensioners²</t>
  </si>
  <si>
    <t>(e) suspended pensioners³</t>
  </si>
  <si>
    <t>(f) members with unclaimed benefits⁴</t>
  </si>
  <si>
    <r>
      <t>(g) transfers in</t>
    </r>
    <r>
      <rPr>
        <vertAlign val="superscript"/>
        <sz val="12"/>
        <color theme="1"/>
        <rFont val="Century Gothic"/>
        <family val="2"/>
      </rPr>
      <t>5</t>
    </r>
  </si>
  <si>
    <t>Total Membership as at end of year</t>
  </si>
  <si>
    <t>3. Beneficiaries as at end of year</t>
  </si>
  <si>
    <t>(a) Pensioners:</t>
  </si>
  <si>
    <t>Surviving Spouse</t>
  </si>
  <si>
    <t>Children</t>
  </si>
  <si>
    <t>Other dependants</t>
  </si>
  <si>
    <t>(b) Suspended pensioners:</t>
  </si>
  <si>
    <t>Total Beneficiaries as at end of year</t>
  </si>
  <si>
    <r>
      <t>4. Exits as at end of year</t>
    </r>
    <r>
      <rPr>
        <b/>
        <vertAlign val="superscript"/>
        <sz val="12"/>
        <color theme="1"/>
        <rFont val="Century Gothic"/>
        <family val="2"/>
      </rPr>
      <t>6</t>
    </r>
  </si>
  <si>
    <r>
      <t>(a) Transfers out</t>
    </r>
    <r>
      <rPr>
        <vertAlign val="superscript"/>
        <sz val="12"/>
        <color theme="1"/>
        <rFont val="Century Gothic"/>
        <family val="2"/>
      </rPr>
      <t>7</t>
    </r>
  </si>
  <si>
    <t>(b) Full commutations</t>
  </si>
  <si>
    <t>(c) Death</t>
  </si>
  <si>
    <t>(d) Other</t>
  </si>
  <si>
    <t>NOTES</t>
  </si>
  <si>
    <t>1. This figure excludes new entrants for the year¹</t>
  </si>
  <si>
    <t>2. This figure excludes suspended pensioners and beneficiaries²</t>
  </si>
  <si>
    <t>3. This figure excludes suspended beneficiaries³</t>
  </si>
  <si>
    <t>4. This figure includes all members of the fund who left employment and in terms of the rules are entitled to receive a benefit from the fund but has not claimed the benefit⁴</t>
  </si>
  <si>
    <r>
      <t>5. This figure is made up of transfers in from other funds</t>
    </r>
    <r>
      <rPr>
        <vertAlign val="superscript"/>
        <sz val="12"/>
        <rFont val="Century Gothic"/>
        <family val="2"/>
      </rPr>
      <t>5</t>
    </r>
  </si>
  <si>
    <r>
      <t>6. exits refers to members who have no residual assets on the fund</t>
    </r>
    <r>
      <rPr>
        <vertAlign val="superscript"/>
        <sz val="12"/>
        <rFont val="Century Gothic"/>
        <family val="2"/>
      </rPr>
      <t>6</t>
    </r>
  </si>
  <si>
    <r>
      <t>7. This figure is made up of transfers out to other funds</t>
    </r>
    <r>
      <rPr>
        <vertAlign val="superscript"/>
        <sz val="12"/>
        <rFont val="Century Gothic"/>
        <family val="2"/>
      </rPr>
      <t>7</t>
    </r>
  </si>
  <si>
    <t>………………………………………………………………………………………....FUND</t>
  </si>
  <si>
    <t>Debtors aged analysis as at………………………………….</t>
  </si>
  <si>
    <t>Rental Arrears</t>
  </si>
  <si>
    <t>Contribution Arrears</t>
  </si>
  <si>
    <t>30 Days and below</t>
  </si>
  <si>
    <t>between 31 days and 90 days</t>
  </si>
  <si>
    <t>between 91 days and 180 days</t>
  </si>
  <si>
    <t>181 days and above</t>
  </si>
  <si>
    <t>Total at end of Reporting  Period</t>
  </si>
  <si>
    <t>Unclaimed benefits aged analysis as at………………………………….</t>
  </si>
  <si>
    <t>Less than 1 year</t>
  </si>
  <si>
    <t>No. of Members</t>
  </si>
  <si>
    <t>Amount</t>
  </si>
  <si>
    <t>From 1-2 years</t>
  </si>
  <si>
    <t>From 2 - 5 years</t>
  </si>
  <si>
    <t>From 6 - 10 years</t>
  </si>
  <si>
    <t>More than 10 years</t>
  </si>
  <si>
    <t>Total</t>
  </si>
  <si>
    <t>Prescribed Assets as at 31 December 2021</t>
  </si>
  <si>
    <t>Type of Instrument</t>
  </si>
  <si>
    <t>Name of Issuer</t>
  </si>
  <si>
    <t>Date of Issue</t>
  </si>
  <si>
    <t>Date of Purchase</t>
  </si>
  <si>
    <t>Maturity Date</t>
  </si>
  <si>
    <t>Purchase Price</t>
  </si>
  <si>
    <t>Face Value of Investment</t>
  </si>
  <si>
    <t>Dividend received</t>
  </si>
  <si>
    <t>Non - Current Assets</t>
  </si>
  <si>
    <t xml:space="preserve"> Current Assets</t>
  </si>
  <si>
    <t>Sponsoring Employers' contribution arrears as at 31 December 20XX</t>
  </si>
  <si>
    <t>Sponsoring Employer</t>
  </si>
  <si>
    <t>Availability of Certified Repayment Agreement (Y/N)</t>
  </si>
  <si>
    <t>14 days and below</t>
  </si>
  <si>
    <t>between 15 days and 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</si>
</sst>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\-mmm\-yy;@"/>
  </numFmts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0"/>
      <name val="Arial"/>
      <family val="2"/>
    </font>
    <font>
      <sz val="12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9"/>
      <name val="Arial"/>
      <family val="2"/>
    </font>
    <font>
      <b/>
      <sz val="12"/>
      <color theme="0"/>
      <name val="Century Gothic"/>
      <family val="2"/>
    </font>
    <font>
      <vertAlign val="superscript"/>
      <sz val="12"/>
      <color theme="1"/>
      <name val="Century Gothic"/>
      <family val="2"/>
    </font>
    <font>
      <b/>
      <vertAlign val="superscript"/>
      <sz val="12"/>
      <color theme="1"/>
      <name val="Century Gothic"/>
      <family val="2"/>
    </font>
    <font>
      <vertAlign val="superscript"/>
      <sz val="1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7" fontId="1" fillId="0" borderId="0"/>
    <xf numFmtId="165" fontId="1" fillId="0" borderId="0" applyFont="0" applyFill="0" applyBorder="0" applyAlignment="0" applyProtection="0"/>
    <xf numFmtId="0" fontId="9" fillId="0" borderId="0"/>
    <xf numFmtId="0" fontId="3" fillId="0" borderId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2" fillId="0" borderId="0" xfId="0" applyFont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/>
    </xf>
    <xf numFmtId="0" fontId="2" fillId="0" borderId="6" xfId="0" applyFont="1" applyBorder="1"/>
    <xf numFmtId="0" fontId="4" fillId="0" borderId="6" xfId="0" applyFont="1" applyBorder="1" applyAlignment="1">
      <alignment horizontal="right"/>
    </xf>
    <xf numFmtId="0" fontId="4" fillId="0" borderId="8" xfId="0" applyFont="1" applyBorder="1"/>
    <xf numFmtId="0" fontId="2" fillId="0" borderId="9" xfId="0" applyFont="1" applyBorder="1"/>
    <xf numFmtId="1" fontId="2" fillId="0" borderId="4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8" fillId="0" borderId="6" xfId="0" applyFont="1" applyBorder="1"/>
    <xf numFmtId="0" fontId="8" fillId="0" borderId="0" xfId="0" applyFont="1" applyAlignment="1">
      <alignment horizontal="left"/>
    </xf>
    <xf numFmtId="0" fontId="8" fillId="0" borderId="7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6" xfId="0" applyFont="1" applyBorder="1" applyAlignment="1">
      <alignment horizontal="right"/>
    </xf>
    <xf numFmtId="0" fontId="6" fillId="0" borderId="6" xfId="0" applyFont="1" applyBorder="1"/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5" fillId="0" borderId="6" xfId="0" applyFont="1" applyBorder="1"/>
    <xf numFmtId="0" fontId="5" fillId="0" borderId="0" xfId="0" applyFont="1"/>
    <xf numFmtId="0" fontId="6" fillId="0" borderId="0" xfId="0" applyFont="1" applyAlignment="1">
      <alignment horizontal="left" indent="1"/>
    </xf>
    <xf numFmtId="0" fontId="0" fillId="0" borderId="6" xfId="0" applyBorder="1"/>
    <xf numFmtId="1" fontId="2" fillId="0" borderId="3" xfId="0" applyNumberFormat="1" applyFont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3" fontId="0" fillId="0" borderId="0" xfId="0" applyNumberFormat="1"/>
    <xf numFmtId="166" fontId="8" fillId="0" borderId="17" xfId="3" applyNumberFormat="1" applyFont="1" applyBorder="1" applyProtection="1">
      <protection locked="0"/>
    </xf>
    <xf numFmtId="0" fontId="12" fillId="0" borderId="10" xfId="2" applyFont="1" applyBorder="1" applyAlignment="1">
      <alignment horizontal="right"/>
    </xf>
    <xf numFmtId="0" fontId="12" fillId="4" borderId="11" xfId="2" applyFont="1" applyFill="1" applyBorder="1" applyAlignment="1">
      <alignment horizontal="right"/>
    </xf>
    <xf numFmtId="0" fontId="12" fillId="3" borderId="12" xfId="2" applyFont="1" applyFill="1" applyBorder="1" applyAlignment="1">
      <alignment horizontal="right"/>
    </xf>
    <xf numFmtId="166" fontId="7" fillId="0" borderId="19" xfId="3" applyNumberFormat="1" applyFont="1" applyBorder="1" applyAlignment="1" applyProtection="1">
      <alignment horizontal="right"/>
      <protection locked="0"/>
    </xf>
    <xf numFmtId="0" fontId="12" fillId="3" borderId="13" xfId="2" applyFont="1" applyFill="1" applyBorder="1" applyAlignment="1">
      <alignment horizontal="right"/>
    </xf>
    <xf numFmtId="166" fontId="7" fillId="0" borderId="13" xfId="3" applyNumberFormat="1" applyFont="1" applyBorder="1" applyAlignment="1" applyProtection="1">
      <alignment horizontal="right"/>
      <protection locked="0"/>
    </xf>
    <xf numFmtId="166" fontId="7" fillId="0" borderId="15" xfId="3" applyNumberFormat="1" applyFont="1" applyBorder="1" applyAlignment="1" applyProtection="1">
      <alignment horizontal="right"/>
      <protection locked="0"/>
    </xf>
    <xf numFmtId="0" fontId="12" fillId="3" borderId="14" xfId="2" applyFont="1" applyFill="1" applyBorder="1" applyAlignment="1">
      <alignment horizontal="right"/>
    </xf>
    <xf numFmtId="166" fontId="7" fillId="0" borderId="14" xfId="3" applyNumberFormat="1" applyFont="1" applyBorder="1" applyAlignment="1" applyProtection="1">
      <alignment horizontal="right"/>
      <protection locked="0"/>
    </xf>
    <xf numFmtId="166" fontId="7" fillId="0" borderId="16" xfId="3" applyNumberFormat="1" applyFont="1" applyBorder="1" applyAlignment="1" applyProtection="1">
      <alignment horizontal="right"/>
      <protection locked="0"/>
    </xf>
    <xf numFmtId="166" fontId="12" fillId="4" borderId="11" xfId="3" applyNumberFormat="1" applyFont="1" applyFill="1" applyBorder="1" applyAlignment="1" applyProtection="1">
      <alignment horizontal="right"/>
    </xf>
    <xf numFmtId="0" fontId="12" fillId="4" borderId="18" xfId="2" applyFont="1" applyFill="1" applyBorder="1" applyAlignment="1">
      <alignment horizontal="right" wrapText="1"/>
    </xf>
    <xf numFmtId="0" fontId="12" fillId="4" borderId="11" xfId="2" applyFont="1" applyFill="1" applyBorder="1" applyAlignment="1">
      <alignment horizontal="right" wrapText="1"/>
    </xf>
    <xf numFmtId="0" fontId="4" fillId="0" borderId="17" xfId="0" applyFont="1" applyBorder="1"/>
    <xf numFmtId="0" fontId="4" fillId="0" borderId="0" xfId="0" applyFont="1" applyAlignment="1">
      <alignment horizontal="left" indent="4"/>
    </xf>
    <xf numFmtId="43" fontId="2" fillId="0" borderId="20" xfId="1" applyFont="1" applyBorder="1" applyAlignment="1">
      <alignment wrapText="1"/>
    </xf>
    <xf numFmtId="43" fontId="2" fillId="0" borderId="21" xfId="1" applyFont="1" applyBorder="1" applyAlignment="1">
      <alignment wrapText="1"/>
    </xf>
    <xf numFmtId="43" fontId="2" fillId="0" borderId="22" xfId="1" applyFont="1" applyBorder="1" applyAlignment="1">
      <alignment wrapText="1"/>
    </xf>
    <xf numFmtId="0" fontId="2" fillId="0" borderId="0" xfId="0" applyFont="1" applyAlignment="1">
      <alignment wrapText="1"/>
    </xf>
    <xf numFmtId="43" fontId="2" fillId="0" borderId="23" xfId="1" applyFont="1" applyBorder="1"/>
    <xf numFmtId="43" fontId="4" fillId="0" borderId="17" xfId="1" applyFont="1" applyBorder="1"/>
    <xf numFmtId="43" fontId="4" fillId="0" borderId="24" xfId="1" applyFont="1" applyBorder="1"/>
    <xf numFmtId="43" fontId="4" fillId="0" borderId="23" xfId="1" applyFont="1" applyBorder="1"/>
    <xf numFmtId="43" fontId="4" fillId="0" borderId="25" xfId="1" applyFont="1" applyBorder="1"/>
    <xf numFmtId="43" fontId="4" fillId="0" borderId="26" xfId="1" applyFont="1" applyBorder="1"/>
    <xf numFmtId="43" fontId="4" fillId="0" borderId="27" xfId="1" applyFont="1" applyBorder="1"/>
    <xf numFmtId="43" fontId="4" fillId="0" borderId="0" xfId="1" applyFont="1"/>
    <xf numFmtId="0" fontId="2" fillId="0" borderId="17" xfId="0" applyFont="1" applyBorder="1" applyAlignment="1">
      <alignment wrapText="1"/>
    </xf>
    <xf numFmtId="43" fontId="2" fillId="0" borderId="24" xfId="1" applyFont="1" applyBorder="1" applyAlignment="1">
      <alignment wrapText="1"/>
    </xf>
    <xf numFmtId="0" fontId="4" fillId="0" borderId="23" xfId="0" applyFont="1" applyBorder="1"/>
    <xf numFmtId="0" fontId="4" fillId="0" borderId="32" xfId="0" applyFont="1" applyBorder="1"/>
    <xf numFmtId="0" fontId="4" fillId="0" borderId="25" xfId="0" applyFont="1" applyBorder="1"/>
    <xf numFmtId="0" fontId="4" fillId="0" borderId="33" xfId="0" applyFont="1" applyBorder="1"/>
    <xf numFmtId="0" fontId="4" fillId="0" borderId="26" xfId="0" applyFont="1" applyBorder="1"/>
    <xf numFmtId="0" fontId="2" fillId="0" borderId="1" xfId="0" applyFont="1" applyBorder="1"/>
    <xf numFmtId="0" fontId="2" fillId="0" borderId="2" xfId="0" applyFont="1" applyBorder="1"/>
    <xf numFmtId="0" fontId="8" fillId="0" borderId="3" xfId="0" applyFont="1" applyBorder="1"/>
    <xf numFmtId="0" fontId="8" fillId="0" borderId="6" xfId="0" applyFont="1" applyBorder="1" applyAlignment="1">
      <alignment horizontal="left" indent="2"/>
    </xf>
    <xf numFmtId="43" fontId="7" fillId="2" borderId="6" xfId="1" applyFont="1" applyFill="1" applyBorder="1"/>
    <xf numFmtId="43" fontId="7" fillId="2" borderId="7" xfId="1" applyFont="1" applyFill="1" applyBorder="1"/>
    <xf numFmtId="0" fontId="8" fillId="0" borderId="36" xfId="0" applyFont="1" applyBorder="1"/>
    <xf numFmtId="43" fontId="8" fillId="0" borderId="6" xfId="1" applyFont="1" applyBorder="1"/>
    <xf numFmtId="43" fontId="8" fillId="0" borderId="7" xfId="1" applyFont="1" applyBorder="1"/>
    <xf numFmtId="0" fontId="8" fillId="0" borderId="6" xfId="0" applyFont="1" applyBorder="1" applyAlignment="1">
      <alignment horizontal="left" indent="3"/>
    </xf>
    <xf numFmtId="0" fontId="8" fillId="0" borderId="6" xfId="0" applyFont="1" applyBorder="1" applyAlignment="1">
      <alignment horizontal="left" indent="1"/>
    </xf>
    <xf numFmtId="0" fontId="8" fillId="0" borderId="8" xfId="0" applyFont="1" applyBorder="1"/>
    <xf numFmtId="43" fontId="4" fillId="0" borderId="6" xfId="1" applyFont="1" applyBorder="1"/>
    <xf numFmtId="43" fontId="4" fillId="0" borderId="7" xfId="1" applyFont="1" applyBorder="1"/>
    <xf numFmtId="43" fontId="4" fillId="0" borderId="0" xfId="1" applyFont="1" applyBorder="1"/>
    <xf numFmtId="43" fontId="2" fillId="2" borderId="6" xfId="1" applyFont="1" applyFill="1" applyBorder="1"/>
    <xf numFmtId="43" fontId="2" fillId="2" borderId="7" xfId="1" applyFont="1" applyFill="1" applyBorder="1"/>
    <xf numFmtId="43" fontId="2" fillId="2" borderId="0" xfId="1" applyFont="1" applyFill="1" applyBorder="1"/>
    <xf numFmtId="43" fontId="4" fillId="0" borderId="8" xfId="1" applyFont="1" applyBorder="1"/>
    <xf numFmtId="43" fontId="4" fillId="0" borderId="10" xfId="1" applyFont="1" applyBorder="1"/>
    <xf numFmtId="43" fontId="4" fillId="0" borderId="9" xfId="1" applyFont="1" applyBorder="1"/>
    <xf numFmtId="43" fontId="8" fillId="0" borderId="6" xfId="1" applyFont="1" applyBorder="1" applyProtection="1"/>
    <xf numFmtId="43" fontId="8" fillId="0" borderId="7" xfId="1" applyFont="1" applyBorder="1" applyProtection="1"/>
    <xf numFmtId="43" fontId="6" fillId="0" borderId="6" xfId="1" applyFont="1" applyBorder="1"/>
    <xf numFmtId="43" fontId="6" fillId="0" borderId="7" xfId="1" applyFont="1" applyBorder="1"/>
    <xf numFmtId="43" fontId="6" fillId="0" borderId="6" xfId="1" applyFont="1" applyBorder="1" applyProtection="1"/>
    <xf numFmtId="43" fontId="6" fillId="0" borderId="7" xfId="1" applyFont="1" applyBorder="1" applyProtection="1"/>
    <xf numFmtId="43" fontId="2" fillId="2" borderId="8" xfId="1" applyFont="1" applyFill="1" applyBorder="1"/>
    <xf numFmtId="43" fontId="2" fillId="2" borderId="10" xfId="1" applyFont="1" applyFill="1" applyBorder="1"/>
    <xf numFmtId="43" fontId="8" fillId="0" borderId="0" xfId="1" applyFont="1" applyBorder="1"/>
    <xf numFmtId="43" fontId="8" fillId="0" borderId="0" xfId="1" applyFont="1" applyBorder="1" applyProtection="1"/>
    <xf numFmtId="43" fontId="7" fillId="2" borderId="0" xfId="1" applyFont="1" applyFill="1" applyBorder="1"/>
    <xf numFmtId="43" fontId="6" fillId="0" borderId="0" xfId="1" applyFont="1" applyBorder="1"/>
    <xf numFmtId="43" fontId="6" fillId="0" borderId="0" xfId="1" applyFont="1" applyBorder="1" applyProtection="1"/>
    <xf numFmtId="43" fontId="4" fillId="0" borderId="6" xfId="1" applyFont="1" applyBorder="1" applyProtection="1"/>
    <xf numFmtId="43" fontId="0" fillId="0" borderId="6" xfId="1" applyFont="1" applyBorder="1"/>
    <xf numFmtId="43" fontId="0" fillId="0" borderId="7" xfId="1" applyFont="1" applyBorder="1"/>
    <xf numFmtId="43" fontId="0" fillId="0" borderId="0" xfId="1" applyFont="1" applyBorder="1"/>
    <xf numFmtId="43" fontId="2" fillId="2" borderId="9" xfId="1" applyFont="1" applyFill="1" applyBorder="1"/>
    <xf numFmtId="0" fontId="4" fillId="5" borderId="0" xfId="0" applyFont="1" applyFill="1"/>
    <xf numFmtId="0" fontId="12" fillId="3" borderId="12" xfId="0" applyFont="1" applyFill="1" applyBorder="1"/>
    <xf numFmtId="0" fontId="2" fillId="0" borderId="37" xfId="0" applyFont="1" applyBorder="1" applyAlignment="1" applyProtection="1">
      <alignment horizontal="left"/>
      <protection locked="0"/>
    </xf>
    <xf numFmtId="0" fontId="18" fillId="0" borderId="0" xfId="0" applyFont="1"/>
    <xf numFmtId="0" fontId="12" fillId="3" borderId="13" xfId="0" applyFont="1" applyFill="1" applyBorder="1"/>
    <xf numFmtId="0" fontId="4" fillId="0" borderId="15" xfId="0" applyFont="1" applyBorder="1" applyAlignment="1" applyProtection="1">
      <alignment horizontal="left"/>
      <protection locked="0"/>
    </xf>
    <xf numFmtId="0" fontId="2" fillId="0" borderId="15" xfId="0" applyFont="1" applyBorder="1" applyAlignment="1" applyProtection="1">
      <alignment horizontal="left"/>
      <protection locked="0"/>
    </xf>
    <xf numFmtId="0" fontId="12" fillId="3" borderId="38" xfId="0" applyFont="1" applyFill="1" applyBorder="1" applyAlignment="1">
      <alignment wrapText="1"/>
    </xf>
    <xf numFmtId="15" fontId="2" fillId="0" borderId="15" xfId="0" applyNumberFormat="1" applyFont="1" applyBorder="1" applyAlignment="1" applyProtection="1">
      <alignment horizontal="left"/>
      <protection locked="0"/>
    </xf>
    <xf numFmtId="0" fontId="2" fillId="6" borderId="15" xfId="0" applyFont="1" applyFill="1" applyBorder="1" applyAlignment="1" applyProtection="1">
      <alignment horizontal="left"/>
      <protection locked="0"/>
    </xf>
    <xf numFmtId="0" fontId="12" fillId="3" borderId="38" xfId="0" applyFont="1" applyFill="1" applyBorder="1"/>
    <xf numFmtId="0" fontId="2" fillId="6" borderId="39" xfId="0" applyFont="1" applyFill="1" applyBorder="1" applyAlignment="1" applyProtection="1">
      <alignment horizontal="left"/>
      <protection locked="0"/>
    </xf>
    <xf numFmtId="1" fontId="8" fillId="0" borderId="0" xfId="0" applyNumberFormat="1" applyFont="1"/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8" fillId="0" borderId="6" xfId="0" applyNumberFormat="1" applyFont="1" applyBorder="1"/>
    <xf numFmtId="1" fontId="8" fillId="0" borderId="7" xfId="0" applyNumberFormat="1" applyFont="1" applyBorder="1"/>
    <xf numFmtId="1" fontId="7" fillId="2" borderId="6" xfId="1" applyNumberFormat="1" applyFont="1" applyFill="1" applyBorder="1"/>
    <xf numFmtId="1" fontId="7" fillId="2" borderId="7" xfId="1" applyNumberFormat="1" applyFont="1" applyFill="1" applyBorder="1"/>
    <xf numFmtId="1" fontId="7" fillId="0" borderId="6" xfId="0" applyNumberFormat="1" applyFont="1" applyBorder="1"/>
    <xf numFmtId="1" fontId="7" fillId="0" borderId="7" xfId="0" applyNumberFormat="1" applyFont="1" applyBorder="1"/>
    <xf numFmtId="1" fontId="8" fillId="0" borderId="36" xfId="0" applyNumberFormat="1" applyFont="1" applyBorder="1"/>
    <xf numFmtId="1" fontId="8" fillId="0" borderId="19" xfId="0" applyNumberFormat="1" applyFont="1" applyBorder="1"/>
    <xf numFmtId="1" fontId="8" fillId="0" borderId="6" xfId="1" applyNumberFormat="1" applyFont="1" applyBorder="1"/>
    <xf numFmtId="1" fontId="8" fillId="0" borderId="7" xfId="1" applyNumberFormat="1" applyFont="1" applyBorder="1"/>
    <xf numFmtId="1" fontId="7" fillId="2" borderId="8" xfId="1" applyNumberFormat="1" applyFont="1" applyFill="1" applyBorder="1"/>
    <xf numFmtId="1" fontId="7" fillId="2" borderId="10" xfId="1" applyNumberFormat="1" applyFont="1" applyFill="1" applyBorder="1"/>
    <xf numFmtId="1" fontId="4" fillId="0" borderId="0" xfId="0" applyNumberFormat="1" applyFont="1"/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0" borderId="35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8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15">
    <cellStyle name="Comma" xfId="1" builtinId="3"/>
    <cellStyle name="Comma [0] 2" xfId="6" xr:uid="{B595D394-F09B-4822-B468-5E8A43875A41}"/>
    <cellStyle name="Comma 2" xfId="5" xr:uid="{92E49993-B55A-43C7-9EF4-C5D574834C50}"/>
    <cellStyle name="Comma 2 2" xfId="8" xr:uid="{91FB09AF-8FA1-4291-A16E-BE8D7670125E}"/>
    <cellStyle name="Comma 3" xfId="10" xr:uid="{0A1C858E-F19F-4418-837E-875DA60F1005}"/>
    <cellStyle name="Comma 4" xfId="13" xr:uid="{F3D305E8-2F82-4D41-8BF9-79EB4281B885}"/>
    <cellStyle name="Comma 5" xfId="3" xr:uid="{0B5622D8-13C0-4E2E-9E7D-75FA237460A5}"/>
    <cellStyle name="Comma 6" xfId="14" xr:uid="{E9D9D973-FB4D-42CD-B5C3-574C34F73448}"/>
    <cellStyle name="Hyperlink 2" xfId="7" xr:uid="{DC52CA74-49D4-453B-977B-7A1A27A12B5E}"/>
    <cellStyle name="Normal" xfId="0" builtinId="0"/>
    <cellStyle name="Normal 2" xfId="11" xr:uid="{8702B937-8D8A-44A7-9591-A20CA60DEC42}"/>
    <cellStyle name="Normal 3" xfId="12" xr:uid="{BFB2B44E-F576-427C-869F-6ABD215703F2}"/>
    <cellStyle name="Normal 4" xfId="9" xr:uid="{BC3E933D-F5F4-49B2-A9D0-5EAB3D5D2620}"/>
    <cellStyle name="Normal 5" xfId="2" xr:uid="{EDEBCAAB-078B-4F66-BEBF-C2B2A24ADC95}"/>
    <cellStyle name="Percent 2" xfId="4" xr:uid="{2BA09ACE-8348-448C-B02B-EFBC0A077D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7E11-003B-423B-A1CF-6957E253B2DF}">
  <dimension ref="A1:E12"/>
  <sheetViews>
    <sheetView tabSelected="1" view="pageBreakPreview" topLeftCell="B1" zoomScale="98" zoomScaleNormal="100" zoomScaleSheetLayoutView="98" workbookViewId="0">
      <selection activeCell="B4" sqref="B4"/>
    </sheetView>
  </sheetViews>
  <sheetFormatPr defaultColWidth="9.140625" defaultRowHeight="15"/>
  <cols>
    <col min="1" max="1" width="0" style="2" hidden="1" customWidth="1"/>
    <col min="2" max="2" width="62.140625" style="1" customWidth="1"/>
    <col min="3" max="3" width="38.28515625" style="9" customWidth="1"/>
    <col min="4" max="16384" width="9.140625" style="2"/>
  </cols>
  <sheetData>
    <row r="1" spans="1:5" ht="15.6" thickBot="1">
      <c r="A1" s="118"/>
    </row>
    <row r="2" spans="1:5">
      <c r="A2" s="2">
        <v>1</v>
      </c>
      <c r="B2" s="119" t="s">
        <v>0</v>
      </c>
      <c r="C2" s="120"/>
      <c r="E2" s="121">
        <v>2019</v>
      </c>
    </row>
    <row r="3" spans="1:5">
      <c r="B3" s="122" t="s">
        <v>1</v>
      </c>
      <c r="C3" s="123"/>
      <c r="E3" s="121"/>
    </row>
    <row r="4" spans="1:5">
      <c r="A4" s="2">
        <v>4</v>
      </c>
      <c r="B4" s="122" t="s">
        <v>2</v>
      </c>
      <c r="C4" s="123"/>
      <c r="E4" s="121">
        <v>2022</v>
      </c>
    </row>
    <row r="5" spans="1:5">
      <c r="A5" s="2">
        <v>9</v>
      </c>
      <c r="B5" s="122" t="s">
        <v>3</v>
      </c>
      <c r="C5" s="124"/>
      <c r="E5" s="121">
        <v>2027</v>
      </c>
    </row>
    <row r="6" spans="1:5">
      <c r="A6" s="2">
        <v>10</v>
      </c>
      <c r="B6" s="122" t="s">
        <v>4</v>
      </c>
      <c r="C6" s="124"/>
      <c r="E6" s="121">
        <v>2028</v>
      </c>
    </row>
    <row r="7" spans="1:5">
      <c r="A7" s="2">
        <v>9</v>
      </c>
      <c r="B7" s="122" t="s">
        <v>5</v>
      </c>
      <c r="C7" s="124"/>
      <c r="E7" s="121">
        <v>2027</v>
      </c>
    </row>
    <row r="8" spans="1:5">
      <c r="A8" s="2">
        <v>10</v>
      </c>
      <c r="B8" s="122" t="s">
        <v>4</v>
      </c>
      <c r="C8" s="124"/>
      <c r="E8" s="121">
        <v>2028</v>
      </c>
    </row>
    <row r="9" spans="1:5" ht="15.6" thickBot="1">
      <c r="A9" s="2">
        <v>11</v>
      </c>
      <c r="B9" s="125" t="s">
        <v>6</v>
      </c>
      <c r="C9" s="126"/>
      <c r="E9" s="121">
        <v>2029</v>
      </c>
    </row>
    <row r="10" spans="1:5">
      <c r="A10" s="2">
        <v>14</v>
      </c>
      <c r="B10" s="122" t="s">
        <v>7</v>
      </c>
      <c r="C10" s="127"/>
      <c r="E10" s="121">
        <v>2032</v>
      </c>
    </row>
    <row r="11" spans="1:5" ht="15.6" thickBot="1">
      <c r="A11" s="118"/>
      <c r="B11" s="128" t="s">
        <v>8</v>
      </c>
      <c r="C11" s="129"/>
      <c r="E11" s="121">
        <v>2040</v>
      </c>
    </row>
    <row r="12" spans="1:5">
      <c r="A12" s="118"/>
      <c r="E12" s="121">
        <v>2041</v>
      </c>
    </row>
  </sheetData>
  <protectedRanges>
    <protectedRange sqref="C2:C11" name="Range1"/>
  </protectedRanges>
  <dataValidations count="2">
    <dataValidation type="list" allowBlank="1" showInputMessage="1" showErrorMessage="1" sqref="C11" xr:uid="{2281ACA4-E8B5-49F4-8567-6B7756AADB06}">
      <formula1>$E$1:$E$12</formula1>
    </dataValidation>
    <dataValidation type="list" allowBlank="1" showInputMessage="1" showErrorMessage="1" sqref="C10" xr:uid="{8215343D-3E24-4467-B8AE-D7EB4FB10148}">
      <formula1>"Self Administered, Insured, Stand Alone/ Industrial"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topLeftCell="A77" zoomScaleNormal="100" workbookViewId="0">
      <selection activeCell="C86" sqref="C86"/>
    </sheetView>
  </sheetViews>
  <sheetFormatPr defaultColWidth="9.140625" defaultRowHeight="15"/>
  <cols>
    <col min="1" max="1" width="8.140625" style="2" customWidth="1"/>
    <col min="2" max="2" width="43.5703125" style="2" customWidth="1"/>
    <col min="3" max="6" width="31.28515625" style="2" customWidth="1"/>
    <col min="7" max="7" width="12.140625" style="2" customWidth="1"/>
    <col min="8" max="16384" width="9.140625" style="2"/>
  </cols>
  <sheetData>
    <row r="1" spans="1:8" s="1" customFormat="1">
      <c r="B1" s="1" t="s">
        <v>9</v>
      </c>
    </row>
    <row r="2" spans="1:8" s="1" customFormat="1"/>
    <row r="3" spans="1:8" s="1" customFormat="1">
      <c r="A3" s="79"/>
      <c r="B3" s="79" t="s">
        <v>10</v>
      </c>
      <c r="C3" s="79"/>
      <c r="D3" s="79"/>
      <c r="E3" s="79"/>
      <c r="F3" s="79"/>
      <c r="G3" s="79"/>
    </row>
    <row r="4" spans="1:8" ht="15.6" thickBot="1"/>
    <row r="5" spans="1:8">
      <c r="A5" s="6"/>
      <c r="B5" s="7"/>
      <c r="C5" s="40">
        <v>2021</v>
      </c>
      <c r="D5" s="23">
        <v>2020</v>
      </c>
      <c r="E5" s="40">
        <v>2021</v>
      </c>
      <c r="F5" s="23">
        <v>2020</v>
      </c>
      <c r="G5" s="9"/>
      <c r="H5" s="9"/>
    </row>
    <row r="6" spans="1:8" ht="15.6" thickBot="1">
      <c r="A6" s="4"/>
      <c r="C6" s="146" t="s">
        <v>11</v>
      </c>
      <c r="D6" s="147"/>
      <c r="E6" s="148" t="s">
        <v>12</v>
      </c>
      <c r="F6" s="147"/>
      <c r="G6" s="9"/>
      <c r="H6" s="9"/>
    </row>
    <row r="7" spans="1:8">
      <c r="A7" s="4"/>
      <c r="B7" s="1" t="s">
        <v>13</v>
      </c>
      <c r="C7" s="4"/>
      <c r="D7" s="5"/>
      <c r="F7" s="5"/>
    </row>
    <row r="8" spans="1:8" s="13" customFormat="1">
      <c r="A8" s="24" t="s">
        <v>14</v>
      </c>
      <c r="B8" s="13" t="s">
        <v>15</v>
      </c>
      <c r="C8" s="24"/>
      <c r="D8" s="25"/>
      <c r="F8" s="25"/>
    </row>
    <row r="9" spans="1:8" s="14" customFormat="1">
      <c r="A9" s="26">
        <v>1</v>
      </c>
      <c r="B9" s="27" t="s">
        <v>16</v>
      </c>
      <c r="C9" s="86"/>
      <c r="D9" s="87"/>
      <c r="E9" s="108"/>
      <c r="F9" s="87"/>
    </row>
    <row r="10" spans="1:8" s="14" customFormat="1">
      <c r="A10" s="26">
        <f>+A9+1</f>
        <v>2</v>
      </c>
      <c r="B10" s="27" t="s">
        <v>17</v>
      </c>
      <c r="C10" s="100"/>
      <c r="D10" s="101"/>
      <c r="E10" s="109"/>
      <c r="F10" s="101"/>
    </row>
    <row r="11" spans="1:8" s="14" customFormat="1">
      <c r="A11" s="26">
        <f t="shared" ref="A11:A12" si="0">+A10+1</f>
        <v>3</v>
      </c>
      <c r="B11" s="27" t="s">
        <v>18</v>
      </c>
      <c r="C11" s="100"/>
      <c r="D11" s="101"/>
      <c r="E11" s="109"/>
      <c r="F11" s="101"/>
    </row>
    <row r="12" spans="1:8" s="14" customFormat="1">
      <c r="A12" s="26">
        <f t="shared" si="0"/>
        <v>4</v>
      </c>
      <c r="B12" s="27" t="s">
        <v>19</v>
      </c>
      <c r="C12" s="100"/>
      <c r="D12" s="101"/>
      <c r="E12" s="109"/>
      <c r="F12" s="101"/>
    </row>
    <row r="13" spans="1:8" s="14" customFormat="1">
      <c r="A13" s="4">
        <f>+A12+1</f>
        <v>5</v>
      </c>
      <c r="B13" s="2" t="s">
        <v>20</v>
      </c>
      <c r="C13" s="100"/>
      <c r="D13" s="101"/>
      <c r="E13" s="109"/>
      <c r="F13" s="101"/>
    </row>
    <row r="14" spans="1:8" s="14" customFormat="1">
      <c r="A14" s="19" t="s">
        <v>21</v>
      </c>
      <c r="B14" s="15" t="s">
        <v>22</v>
      </c>
      <c r="C14" s="100"/>
      <c r="D14" s="101"/>
      <c r="E14" s="109"/>
      <c r="F14" s="101"/>
    </row>
    <row r="15" spans="1:8" s="14" customFormat="1">
      <c r="A15" s="19" t="s">
        <v>23</v>
      </c>
      <c r="B15" s="15" t="s">
        <v>22</v>
      </c>
      <c r="C15" s="100"/>
      <c r="D15" s="101"/>
      <c r="E15" s="109"/>
      <c r="F15" s="101"/>
    </row>
    <row r="16" spans="1:8" s="14" customFormat="1">
      <c r="A16" s="19" t="s">
        <v>24</v>
      </c>
      <c r="B16" s="15" t="s">
        <v>22</v>
      </c>
      <c r="C16" s="100"/>
      <c r="D16" s="101"/>
      <c r="E16" s="109"/>
      <c r="F16" s="101"/>
    </row>
    <row r="17" spans="1:6" s="13" customFormat="1">
      <c r="A17" s="29"/>
      <c r="B17" s="30" t="s">
        <v>25</v>
      </c>
      <c r="C17" s="83">
        <f>+SUM(C9:C16)</f>
        <v>0</v>
      </c>
      <c r="D17" s="84">
        <f>+SUM(D9:D16)</f>
        <v>0</v>
      </c>
      <c r="E17" s="110">
        <f>+SUM(E9:E16)</f>
        <v>0</v>
      </c>
      <c r="F17" s="84">
        <f>+SUM(F9:F16)</f>
        <v>0</v>
      </c>
    </row>
    <row r="18" spans="1:6" s="14" customFormat="1">
      <c r="A18" s="26"/>
      <c r="B18" s="31"/>
      <c r="C18" s="86"/>
      <c r="D18" s="87"/>
      <c r="E18" s="108"/>
      <c r="F18" s="87"/>
    </row>
    <row r="19" spans="1:6" s="14" customFormat="1">
      <c r="A19" s="24" t="s">
        <v>26</v>
      </c>
      <c r="B19" s="13" t="s">
        <v>27</v>
      </c>
      <c r="C19" s="86"/>
      <c r="D19" s="87"/>
      <c r="E19" s="108"/>
      <c r="F19" s="87"/>
    </row>
    <row r="20" spans="1:6" s="14" customFormat="1">
      <c r="A20" s="26">
        <f>+A13+1</f>
        <v>6</v>
      </c>
      <c r="B20" s="27" t="s">
        <v>28</v>
      </c>
      <c r="C20" s="86"/>
      <c r="D20" s="87"/>
      <c r="E20" s="108"/>
      <c r="F20" s="87"/>
    </row>
    <row r="21" spans="1:6" s="14" customFormat="1">
      <c r="A21" s="26">
        <f>+A20+1</f>
        <v>7</v>
      </c>
      <c r="B21" s="27" t="s">
        <v>29</v>
      </c>
      <c r="C21" s="100"/>
      <c r="D21" s="101"/>
      <c r="E21" s="109"/>
      <c r="F21" s="101"/>
    </row>
    <row r="22" spans="1:6" s="14" customFormat="1">
      <c r="A22" s="32" t="s">
        <v>21</v>
      </c>
      <c r="B22" s="31" t="s">
        <v>30</v>
      </c>
      <c r="C22" s="100"/>
      <c r="D22" s="101"/>
      <c r="E22" s="109"/>
      <c r="F22" s="101"/>
    </row>
    <row r="23" spans="1:6" s="14" customFormat="1">
      <c r="A23" s="32" t="s">
        <v>23</v>
      </c>
      <c r="B23" s="31" t="s">
        <v>31</v>
      </c>
      <c r="C23" s="100"/>
      <c r="D23" s="101"/>
      <c r="E23" s="109"/>
      <c r="F23" s="101"/>
    </row>
    <row r="24" spans="1:6" s="14" customFormat="1">
      <c r="A24" s="26">
        <f>+A21+1</f>
        <v>8</v>
      </c>
      <c r="B24" s="27" t="s">
        <v>32</v>
      </c>
      <c r="C24" s="100"/>
      <c r="D24" s="101"/>
      <c r="E24" s="109"/>
      <c r="F24" s="101"/>
    </row>
    <row r="25" spans="1:6" s="14" customFormat="1">
      <c r="A25" s="26"/>
      <c r="B25" s="31" t="s">
        <v>33</v>
      </c>
      <c r="C25" s="100"/>
      <c r="D25" s="101"/>
      <c r="E25" s="109"/>
      <c r="F25" s="101"/>
    </row>
    <row r="26" spans="1:6" s="14" customFormat="1">
      <c r="A26" s="26"/>
      <c r="B26" s="31" t="s">
        <v>34</v>
      </c>
      <c r="C26" s="100"/>
      <c r="D26" s="101"/>
      <c r="E26" s="109"/>
      <c r="F26" s="101"/>
    </row>
    <row r="27" spans="1:6" s="14" customFormat="1">
      <c r="A27" s="26">
        <f>+A24+1</f>
        <v>9</v>
      </c>
      <c r="B27" s="27" t="s">
        <v>35</v>
      </c>
      <c r="C27" s="100"/>
      <c r="D27" s="101"/>
      <c r="E27" s="109"/>
      <c r="F27" s="101"/>
    </row>
    <row r="28" spans="1:6" s="14" customFormat="1">
      <c r="A28" s="26">
        <f>+A27+1</f>
        <v>10</v>
      </c>
      <c r="B28" s="27" t="s">
        <v>36</v>
      </c>
      <c r="C28" s="100"/>
      <c r="D28" s="101"/>
      <c r="E28" s="109"/>
      <c r="F28" s="101"/>
    </row>
    <row r="29" spans="1:6" s="14" customFormat="1">
      <c r="A29" s="26">
        <f t="shared" ref="A29:A31" si="1">+A28+1</f>
        <v>11</v>
      </c>
      <c r="B29" s="27" t="s">
        <v>37</v>
      </c>
      <c r="C29" s="100"/>
      <c r="D29" s="101"/>
      <c r="E29" s="109"/>
      <c r="F29" s="101"/>
    </row>
    <row r="30" spans="1:6" s="14" customFormat="1">
      <c r="A30" s="26">
        <f t="shared" si="1"/>
        <v>12</v>
      </c>
      <c r="B30" s="27" t="s">
        <v>38</v>
      </c>
      <c r="C30" s="100"/>
      <c r="D30" s="101"/>
      <c r="E30" s="109"/>
      <c r="F30" s="101"/>
    </row>
    <row r="31" spans="1:6" s="14" customFormat="1">
      <c r="A31" s="26">
        <f t="shared" si="1"/>
        <v>13</v>
      </c>
      <c r="B31" s="2" t="s">
        <v>20</v>
      </c>
      <c r="C31" s="100"/>
      <c r="D31" s="101"/>
      <c r="E31" s="109"/>
      <c r="F31" s="101"/>
    </row>
    <row r="32" spans="1:6" s="14" customFormat="1">
      <c r="A32" s="19" t="s">
        <v>21</v>
      </c>
      <c r="B32" s="15" t="s">
        <v>22</v>
      </c>
      <c r="C32" s="100"/>
      <c r="D32" s="101"/>
      <c r="E32" s="109"/>
      <c r="F32" s="101"/>
    </row>
    <row r="33" spans="1:6" s="14" customFormat="1">
      <c r="A33" s="19" t="s">
        <v>23</v>
      </c>
      <c r="B33" s="15" t="s">
        <v>22</v>
      </c>
      <c r="C33" s="100"/>
      <c r="D33" s="101"/>
      <c r="E33" s="109"/>
      <c r="F33" s="101"/>
    </row>
    <row r="34" spans="1:6" s="14" customFormat="1">
      <c r="A34" s="19" t="s">
        <v>24</v>
      </c>
      <c r="B34" s="15" t="s">
        <v>22</v>
      </c>
      <c r="C34" s="100"/>
      <c r="D34" s="101"/>
      <c r="E34" s="109"/>
      <c r="F34" s="101"/>
    </row>
    <row r="35" spans="1:6" s="13" customFormat="1">
      <c r="A35" s="29"/>
      <c r="B35" s="30" t="s">
        <v>39</v>
      </c>
      <c r="C35" s="83">
        <f>+SUM(C20:C34)</f>
        <v>0</v>
      </c>
      <c r="D35" s="84">
        <f>+SUM(D20:D34)</f>
        <v>0</v>
      </c>
      <c r="E35" s="110">
        <f>+SUM(E20:E34)</f>
        <v>0</v>
      </c>
      <c r="F35" s="84">
        <f>+SUM(F20:F34)</f>
        <v>0</v>
      </c>
    </row>
    <row r="36" spans="1:6">
      <c r="A36" s="4"/>
      <c r="C36" s="91"/>
      <c r="D36" s="92"/>
      <c r="E36" s="93"/>
      <c r="F36" s="92"/>
    </row>
    <row r="37" spans="1:6">
      <c r="A37" s="18" t="s">
        <v>40</v>
      </c>
      <c r="B37" s="1" t="s">
        <v>41</v>
      </c>
      <c r="C37" s="91"/>
      <c r="D37" s="92"/>
      <c r="E37" s="93"/>
      <c r="F37" s="92"/>
    </row>
    <row r="38" spans="1:6" s="12" customFormat="1" ht="13.9">
      <c r="A38" s="33">
        <f>+A31+1</f>
        <v>14</v>
      </c>
      <c r="B38" s="12" t="s">
        <v>32</v>
      </c>
      <c r="C38" s="102"/>
      <c r="D38" s="103"/>
      <c r="E38" s="111"/>
      <c r="F38" s="103"/>
    </row>
    <row r="39" spans="1:6" s="12" customFormat="1" ht="13.9">
      <c r="A39" s="33"/>
      <c r="B39" s="34" t="s">
        <v>33</v>
      </c>
      <c r="C39" s="102"/>
      <c r="D39" s="103"/>
      <c r="E39" s="111"/>
      <c r="F39" s="103"/>
    </row>
    <row r="40" spans="1:6" s="12" customFormat="1" ht="13.9">
      <c r="A40" s="33"/>
      <c r="B40" s="34" t="s">
        <v>42</v>
      </c>
      <c r="C40" s="104"/>
      <c r="D40" s="105"/>
      <c r="E40" s="112"/>
      <c r="F40" s="105"/>
    </row>
    <row r="41" spans="1:6" s="12" customFormat="1" ht="13.9">
      <c r="A41" s="33"/>
      <c r="B41" s="34" t="s">
        <v>34</v>
      </c>
      <c r="C41" s="104"/>
      <c r="D41" s="105"/>
      <c r="E41" s="112"/>
      <c r="F41" s="105"/>
    </row>
    <row r="42" spans="1:6" s="12" customFormat="1" ht="13.9">
      <c r="A42" s="33">
        <f>+A38+1</f>
        <v>15</v>
      </c>
      <c r="B42" s="35" t="s">
        <v>37</v>
      </c>
      <c r="C42" s="104"/>
      <c r="D42" s="105"/>
      <c r="E42" s="112"/>
      <c r="F42" s="105"/>
    </row>
    <row r="43" spans="1:6" s="12" customFormat="1" ht="13.9">
      <c r="A43" s="33">
        <f>+A42+1</f>
        <v>16</v>
      </c>
      <c r="B43" s="35" t="s">
        <v>43</v>
      </c>
      <c r="C43" s="104"/>
      <c r="D43" s="105"/>
      <c r="E43" s="112"/>
      <c r="F43" s="105"/>
    </row>
    <row r="44" spans="1:6" s="12" customFormat="1" ht="13.9">
      <c r="A44" s="33">
        <f t="shared" ref="A44:A45" si="2">+A43+1</f>
        <v>17</v>
      </c>
      <c r="B44" s="35" t="s">
        <v>44</v>
      </c>
      <c r="C44" s="104"/>
      <c r="D44" s="105"/>
      <c r="E44" s="112"/>
      <c r="F44" s="105"/>
    </row>
    <row r="45" spans="1:6" s="12" customFormat="1">
      <c r="A45" s="33">
        <f t="shared" si="2"/>
        <v>18</v>
      </c>
      <c r="B45" s="2" t="s">
        <v>20</v>
      </c>
      <c r="C45" s="104"/>
      <c r="D45" s="105"/>
      <c r="E45" s="112"/>
      <c r="F45" s="105"/>
    </row>
    <row r="46" spans="1:6" s="12" customFormat="1">
      <c r="A46" s="19" t="s">
        <v>21</v>
      </c>
      <c r="B46" s="15" t="s">
        <v>22</v>
      </c>
      <c r="C46" s="104"/>
      <c r="D46" s="105"/>
      <c r="E46" s="112"/>
      <c r="F46" s="105"/>
    </row>
    <row r="47" spans="1:6" s="12" customFormat="1">
      <c r="A47" s="19" t="s">
        <v>23</v>
      </c>
      <c r="B47" s="15" t="s">
        <v>22</v>
      </c>
      <c r="C47" s="104"/>
      <c r="D47" s="105"/>
      <c r="E47" s="112"/>
      <c r="F47" s="105"/>
    </row>
    <row r="48" spans="1:6" s="12" customFormat="1">
      <c r="A48" s="19" t="s">
        <v>24</v>
      </c>
      <c r="B48" s="15" t="s">
        <v>22</v>
      </c>
      <c r="C48" s="104"/>
      <c r="D48" s="105"/>
      <c r="E48" s="112"/>
      <c r="F48" s="105"/>
    </row>
    <row r="49" spans="1:6" s="13" customFormat="1">
      <c r="A49" s="29"/>
      <c r="B49" s="30" t="s">
        <v>45</v>
      </c>
      <c r="C49" s="83">
        <f>+SUM(C38:C48)</f>
        <v>0</v>
      </c>
      <c r="D49" s="84">
        <f>+SUM(D38:D48)</f>
        <v>0</v>
      </c>
      <c r="E49" s="110">
        <f>+SUM(E38:E48)</f>
        <v>0</v>
      </c>
      <c r="F49" s="84">
        <f>+SUM(F38:F48)</f>
        <v>0</v>
      </c>
    </row>
    <row r="50" spans="1:6">
      <c r="A50" s="4"/>
      <c r="C50" s="91"/>
      <c r="D50" s="92"/>
      <c r="E50" s="93"/>
      <c r="F50" s="92"/>
    </row>
    <row r="51" spans="1:6" s="12" customFormat="1" ht="13.9">
      <c r="A51" s="36" t="s">
        <v>46</v>
      </c>
      <c r="B51" s="37" t="s">
        <v>47</v>
      </c>
      <c r="C51" s="102"/>
      <c r="D51" s="103"/>
      <c r="E51" s="111"/>
      <c r="F51" s="103"/>
    </row>
    <row r="52" spans="1:6" s="12" customFormat="1" ht="13.9">
      <c r="A52" s="33">
        <f>+A45+1</f>
        <v>19</v>
      </c>
      <c r="B52" s="35" t="s">
        <v>48</v>
      </c>
      <c r="C52" s="102"/>
      <c r="D52" s="103"/>
      <c r="E52" s="111"/>
      <c r="F52" s="103"/>
    </row>
    <row r="53" spans="1:6" s="12" customFormat="1" ht="13.9">
      <c r="A53" s="33">
        <f>+A52+1</f>
        <v>20</v>
      </c>
      <c r="B53" s="35" t="s">
        <v>49</v>
      </c>
      <c r="C53" s="104"/>
      <c r="D53" s="105"/>
      <c r="E53" s="112"/>
      <c r="F53" s="105"/>
    </row>
    <row r="54" spans="1:6" s="12" customFormat="1" ht="13.9">
      <c r="A54" s="33">
        <f>+A53+1</f>
        <v>21</v>
      </c>
      <c r="B54" s="35" t="s">
        <v>50</v>
      </c>
      <c r="C54" s="104"/>
      <c r="D54" s="105"/>
      <c r="E54" s="112"/>
      <c r="F54" s="105"/>
    </row>
    <row r="55" spans="1:6" s="12" customFormat="1">
      <c r="A55" s="4">
        <f>+A54+1</f>
        <v>22</v>
      </c>
      <c r="B55" s="2" t="s">
        <v>20</v>
      </c>
      <c r="C55" s="104"/>
      <c r="D55" s="105"/>
      <c r="E55" s="112"/>
      <c r="F55" s="105"/>
    </row>
    <row r="56" spans="1:6" s="12" customFormat="1">
      <c r="A56" s="19" t="s">
        <v>21</v>
      </c>
      <c r="B56" s="15" t="s">
        <v>22</v>
      </c>
      <c r="C56" s="104"/>
      <c r="D56" s="105"/>
      <c r="E56" s="112"/>
      <c r="F56" s="105"/>
    </row>
    <row r="57" spans="1:6" s="12" customFormat="1">
      <c r="A57" s="19" t="s">
        <v>23</v>
      </c>
      <c r="B57" s="15" t="s">
        <v>22</v>
      </c>
      <c r="C57" s="104"/>
      <c r="D57" s="105"/>
      <c r="E57" s="112"/>
      <c r="F57" s="105"/>
    </row>
    <row r="58" spans="1:6" s="12" customFormat="1">
      <c r="A58" s="19" t="s">
        <v>24</v>
      </c>
      <c r="B58" s="15" t="s">
        <v>22</v>
      </c>
      <c r="C58" s="104"/>
      <c r="D58" s="105"/>
      <c r="E58" s="112"/>
      <c r="F58" s="105"/>
    </row>
    <row r="59" spans="1:6" s="13" customFormat="1">
      <c r="A59" s="29"/>
      <c r="B59" s="30" t="s">
        <v>51</v>
      </c>
      <c r="C59" s="83">
        <f>+SUM(C52:C58)</f>
        <v>0</v>
      </c>
      <c r="D59" s="84">
        <f>+SUM(D52:D58)</f>
        <v>0</v>
      </c>
      <c r="E59" s="110">
        <f>+SUM(E52:E58)</f>
        <v>0</v>
      </c>
      <c r="F59" s="84">
        <f>+SUM(F52:F58)</f>
        <v>0</v>
      </c>
    </row>
    <row r="60" spans="1:6" s="12" customFormat="1" ht="13.9">
      <c r="A60" s="33"/>
      <c r="B60" s="38"/>
      <c r="C60" s="102"/>
      <c r="D60" s="103"/>
      <c r="E60" s="111"/>
      <c r="F60" s="103"/>
    </row>
    <row r="61" spans="1:6">
      <c r="A61" s="4"/>
      <c r="B61" s="1" t="s">
        <v>52</v>
      </c>
      <c r="C61" s="94">
        <f>+C59+C49+C35+C17</f>
        <v>0</v>
      </c>
      <c r="D61" s="95">
        <f>+D59+D49+D35+D17</f>
        <v>0</v>
      </c>
      <c r="E61" s="96">
        <f>+E59+E49+E35+E17</f>
        <v>0</v>
      </c>
      <c r="F61" s="95">
        <f>+F59+F49+F35+F17</f>
        <v>0</v>
      </c>
    </row>
    <row r="62" spans="1:6">
      <c r="A62" s="4"/>
      <c r="B62" s="1"/>
      <c r="C62" s="91"/>
      <c r="D62" s="92"/>
      <c r="E62" s="93"/>
      <c r="F62" s="92"/>
    </row>
    <row r="63" spans="1:6">
      <c r="A63" s="4"/>
      <c r="B63" s="1" t="s">
        <v>53</v>
      </c>
      <c r="C63" s="91"/>
      <c r="D63" s="92"/>
      <c r="E63" s="93"/>
      <c r="F63" s="92"/>
    </row>
    <row r="64" spans="1:6">
      <c r="A64" s="18" t="s">
        <v>54</v>
      </c>
      <c r="B64" s="1" t="s">
        <v>55</v>
      </c>
      <c r="C64" s="91"/>
      <c r="D64" s="92"/>
      <c r="E64" s="93"/>
      <c r="F64" s="92"/>
    </row>
    <row r="65" spans="1:6">
      <c r="A65" s="4">
        <f>+A55+1</f>
        <v>23</v>
      </c>
      <c r="B65" s="2" t="s">
        <v>56</v>
      </c>
      <c r="C65" s="91"/>
      <c r="D65" s="92"/>
      <c r="E65" s="93"/>
      <c r="F65" s="92"/>
    </row>
    <row r="66" spans="1:6">
      <c r="A66" s="4">
        <f>+A65+1</f>
        <v>24</v>
      </c>
      <c r="B66" s="2" t="s">
        <v>57</v>
      </c>
      <c r="C66" s="113"/>
      <c r="D66" s="92"/>
      <c r="E66" s="93"/>
      <c r="F66" s="92"/>
    </row>
    <row r="67" spans="1:6">
      <c r="A67" s="4">
        <f>+A66+1</f>
        <v>25</v>
      </c>
      <c r="B67" s="2" t="s">
        <v>58</v>
      </c>
      <c r="C67" s="113"/>
      <c r="D67" s="92"/>
      <c r="E67" s="93"/>
      <c r="F67" s="92"/>
    </row>
    <row r="68" spans="1:6">
      <c r="A68" s="19" t="s">
        <v>21</v>
      </c>
      <c r="B68" s="15" t="s">
        <v>22</v>
      </c>
      <c r="C68" s="113"/>
      <c r="D68" s="92"/>
      <c r="E68" s="93"/>
      <c r="F68" s="92"/>
    </row>
    <row r="69" spans="1:6">
      <c r="A69" s="19" t="s">
        <v>23</v>
      </c>
      <c r="B69" s="15" t="s">
        <v>22</v>
      </c>
      <c r="C69" s="113"/>
      <c r="D69" s="92"/>
      <c r="E69" s="93"/>
      <c r="F69" s="92"/>
    </row>
    <row r="70" spans="1:6" s="1" customFormat="1">
      <c r="A70" s="29"/>
      <c r="B70" s="30" t="s">
        <v>59</v>
      </c>
      <c r="C70" s="94">
        <f>+SUM(C65:C69)</f>
        <v>0</v>
      </c>
      <c r="D70" s="95">
        <f>+SUM(D65:D69)</f>
        <v>0</v>
      </c>
      <c r="E70" s="96">
        <f>+SUM(E65:E69)</f>
        <v>0</v>
      </c>
      <c r="F70" s="95">
        <f>+SUM(F65:F69)</f>
        <v>0</v>
      </c>
    </row>
    <row r="71" spans="1:6">
      <c r="A71" s="19"/>
      <c r="C71" s="91"/>
      <c r="D71" s="92"/>
      <c r="E71" s="93"/>
      <c r="F71" s="92"/>
    </row>
    <row r="72" spans="1:6">
      <c r="A72" s="18" t="s">
        <v>60</v>
      </c>
      <c r="B72" s="1" t="s">
        <v>61</v>
      </c>
      <c r="C72" s="91"/>
      <c r="D72" s="92"/>
      <c r="E72" s="93"/>
      <c r="F72" s="92"/>
    </row>
    <row r="73" spans="1:6">
      <c r="A73" s="4">
        <f>+A67+1</f>
        <v>26</v>
      </c>
      <c r="B73" s="2" t="s">
        <v>62</v>
      </c>
      <c r="C73" s="91"/>
      <c r="D73" s="92"/>
      <c r="E73" s="93"/>
      <c r="F73" s="92"/>
    </row>
    <row r="74" spans="1:6">
      <c r="A74" s="4">
        <f>+A73+1</f>
        <v>27</v>
      </c>
      <c r="B74" s="2" t="s">
        <v>63</v>
      </c>
      <c r="C74" s="91"/>
      <c r="D74" s="92"/>
      <c r="E74" s="93"/>
      <c r="F74" s="92"/>
    </row>
    <row r="75" spans="1:6">
      <c r="A75" s="4">
        <f t="shared" ref="A75:A82" si="3">+A74+1</f>
        <v>28</v>
      </c>
      <c r="B75" s="2" t="s">
        <v>64</v>
      </c>
      <c r="C75" s="91"/>
      <c r="D75" s="92"/>
      <c r="E75" s="93"/>
      <c r="F75" s="92"/>
    </row>
    <row r="76" spans="1:6">
      <c r="A76" s="4">
        <f t="shared" si="3"/>
        <v>29</v>
      </c>
      <c r="B76" s="2" t="s">
        <v>65</v>
      </c>
      <c r="C76" s="91"/>
      <c r="D76" s="92"/>
      <c r="E76" s="93"/>
      <c r="F76" s="92"/>
    </row>
    <row r="77" spans="1:6">
      <c r="A77" s="4">
        <f t="shared" si="3"/>
        <v>30</v>
      </c>
      <c r="B77" s="2" t="s">
        <v>66</v>
      </c>
      <c r="C77" s="91"/>
      <c r="D77" s="92"/>
      <c r="E77" s="93"/>
      <c r="F77" s="92"/>
    </row>
    <row r="78" spans="1:6">
      <c r="A78" s="4">
        <f t="shared" si="3"/>
        <v>31</v>
      </c>
      <c r="B78" s="2" t="s">
        <v>67</v>
      </c>
      <c r="C78" s="91"/>
      <c r="D78" s="92"/>
      <c r="E78" s="93"/>
      <c r="F78" s="92"/>
    </row>
    <row r="79" spans="1:6">
      <c r="A79" s="4">
        <f t="shared" si="3"/>
        <v>32</v>
      </c>
      <c r="B79" s="2" t="s">
        <v>68</v>
      </c>
      <c r="C79" s="91"/>
      <c r="D79" s="92"/>
      <c r="E79" s="93"/>
      <c r="F79" s="92"/>
    </row>
    <row r="80" spans="1:6">
      <c r="A80" s="4">
        <f t="shared" si="3"/>
        <v>33</v>
      </c>
      <c r="B80" s="2" t="s">
        <v>69</v>
      </c>
      <c r="C80" s="91"/>
      <c r="D80" s="92"/>
      <c r="E80" s="93"/>
      <c r="F80" s="92"/>
    </row>
    <row r="81" spans="1:6">
      <c r="A81" s="4">
        <f t="shared" si="3"/>
        <v>34</v>
      </c>
      <c r="B81" s="2" t="s">
        <v>70</v>
      </c>
      <c r="C81" s="91"/>
      <c r="D81" s="92"/>
      <c r="E81" s="93"/>
      <c r="F81" s="92"/>
    </row>
    <row r="82" spans="1:6">
      <c r="A82" s="4">
        <f t="shared" si="3"/>
        <v>35</v>
      </c>
      <c r="B82" s="2" t="s">
        <v>71</v>
      </c>
      <c r="C82" s="91"/>
      <c r="D82" s="92"/>
      <c r="E82" s="93"/>
      <c r="F82" s="92"/>
    </row>
    <row r="83" spans="1:6">
      <c r="A83" s="19" t="s">
        <v>21</v>
      </c>
      <c r="B83" s="15" t="s">
        <v>22</v>
      </c>
      <c r="C83" s="91"/>
      <c r="D83" s="92"/>
      <c r="E83" s="93"/>
      <c r="F83" s="92"/>
    </row>
    <row r="84" spans="1:6">
      <c r="A84" s="19" t="s">
        <v>23</v>
      </c>
      <c r="B84" s="15" t="s">
        <v>22</v>
      </c>
      <c r="C84" s="91"/>
      <c r="D84" s="92"/>
      <c r="E84" s="93"/>
      <c r="F84" s="92"/>
    </row>
    <row r="85" spans="1:6">
      <c r="A85" s="19" t="s">
        <v>24</v>
      </c>
      <c r="B85" s="15" t="s">
        <v>22</v>
      </c>
      <c r="C85" s="91"/>
      <c r="D85" s="92"/>
      <c r="E85" s="93"/>
      <c r="F85" s="92"/>
    </row>
    <row r="86" spans="1:6">
      <c r="A86" s="4">
        <f>+A82+1</f>
        <v>36</v>
      </c>
      <c r="B86" s="2" t="s">
        <v>20</v>
      </c>
      <c r="C86" s="91"/>
      <c r="D86" s="92"/>
      <c r="E86" s="93"/>
      <c r="F86" s="92"/>
    </row>
    <row r="87" spans="1:6">
      <c r="A87" s="19" t="s">
        <v>21</v>
      </c>
      <c r="B87" s="15" t="s">
        <v>22</v>
      </c>
      <c r="C87" s="91"/>
      <c r="D87" s="92"/>
      <c r="E87" s="93"/>
      <c r="F87" s="92"/>
    </row>
    <row r="88" spans="1:6">
      <c r="A88" s="19" t="s">
        <v>23</v>
      </c>
      <c r="B88" s="15" t="s">
        <v>22</v>
      </c>
      <c r="C88" s="91"/>
      <c r="D88" s="92"/>
      <c r="E88" s="93"/>
      <c r="F88" s="92"/>
    </row>
    <row r="89" spans="1:6">
      <c r="A89" s="19" t="s">
        <v>24</v>
      </c>
      <c r="B89" s="15" t="s">
        <v>22</v>
      </c>
      <c r="C89" s="91"/>
      <c r="D89" s="92"/>
      <c r="E89" s="93"/>
      <c r="F89" s="92"/>
    </row>
    <row r="90" spans="1:6">
      <c r="A90" s="4"/>
      <c r="C90" s="91"/>
      <c r="D90" s="92"/>
      <c r="E90" s="93"/>
      <c r="F90" s="92"/>
    </row>
    <row r="91" spans="1:6">
      <c r="A91" s="4"/>
      <c r="B91" s="1" t="s">
        <v>72</v>
      </c>
      <c r="C91" s="94">
        <f>+SUM(C73:C89)</f>
        <v>0</v>
      </c>
      <c r="D91" s="95">
        <f>+SUM(D73:D89)</f>
        <v>0</v>
      </c>
      <c r="E91" s="96">
        <f>+SUM(E73:E89)</f>
        <v>0</v>
      </c>
      <c r="F91" s="95">
        <f>+SUM(F73:F89)</f>
        <v>0</v>
      </c>
    </row>
    <row r="92" spans="1:6" customFormat="1" ht="13.15">
      <c r="A92" s="39"/>
      <c r="C92" s="114"/>
      <c r="D92" s="115"/>
      <c r="E92" s="116"/>
      <c r="F92" s="115"/>
    </row>
    <row r="93" spans="1:6" ht="15.6" thickBot="1">
      <c r="A93" s="20"/>
      <c r="B93" s="21" t="s">
        <v>73</v>
      </c>
      <c r="C93" s="106">
        <f>+C91+C70</f>
        <v>0</v>
      </c>
      <c r="D93" s="107">
        <f>+D91+D70</f>
        <v>0</v>
      </c>
      <c r="E93" s="117">
        <f>+E91+E70</f>
        <v>0</v>
      </c>
      <c r="F93" s="107">
        <f>+F91+F70</f>
        <v>0</v>
      </c>
    </row>
    <row r="95" spans="1:6">
      <c r="B95" s="2" t="s">
        <v>74</v>
      </c>
      <c r="D95" s="2" t="s">
        <v>75</v>
      </c>
    </row>
    <row r="96" spans="1:6">
      <c r="B96" s="2" t="s">
        <v>76</v>
      </c>
      <c r="D96" s="2" t="s">
        <v>75</v>
      </c>
    </row>
    <row r="97" spans="2:4">
      <c r="B97" s="2" t="s">
        <v>77</v>
      </c>
      <c r="D97" s="2" t="s">
        <v>75</v>
      </c>
    </row>
  </sheetData>
  <sheetProtection algorithmName="SHA-512" hashValue="Gma3znKMGmOyII6GZvBr84xyrZMe2KqqQLcO3miZDEELcds/7aPgS+QXQZv2yagdw8oC1rRvAIaR/P7aHdb1fQ==" saltValue="vBlPiIFrt6nb3hxvGdd8DQ==" spinCount="100000" sheet="1" objects="1" scenarios="1"/>
  <protectedRanges>
    <protectedRange sqref="B87:B89" name="Range14"/>
    <protectedRange sqref="B83:B85" name="Range13"/>
    <protectedRange sqref="B68:B69" name="Range12"/>
    <protectedRange sqref="B46:B48" name="Range10"/>
    <protectedRange sqref="B14:B16" name="Range8"/>
    <protectedRange sqref="C73:F90" name="Range6"/>
    <protectedRange sqref="C65:F69" name="Range5"/>
    <protectedRange sqref="C52:F58" name="Range4"/>
    <protectedRange sqref="C36:F48" name="Range3"/>
    <protectedRange sqref="C7:F16" name="Range1"/>
    <protectedRange sqref="C18:F34" name="Range2"/>
    <protectedRange sqref="B1" name="Range7"/>
    <protectedRange sqref="B32:B34" name="Range9"/>
    <protectedRange sqref="B56:B58" name="Range11"/>
  </protectedRanges>
  <mergeCells count="2">
    <mergeCell ref="C6:D6"/>
    <mergeCell ref="E6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workbookViewId="0">
      <selection activeCell="C7" sqref="C7"/>
    </sheetView>
  </sheetViews>
  <sheetFormatPr defaultColWidth="9.140625" defaultRowHeight="15"/>
  <cols>
    <col min="1" max="1" width="9.140625" style="2"/>
    <col min="2" max="2" width="48" style="2" bestFit="1" customWidth="1"/>
    <col min="3" max="6" width="33.42578125" style="2" customWidth="1"/>
    <col min="7" max="16384" width="9.140625" style="2"/>
  </cols>
  <sheetData>
    <row r="1" spans="1:8" s="1" customFormat="1">
      <c r="B1" s="1" t="s">
        <v>9</v>
      </c>
      <c r="E1" s="80"/>
    </row>
    <row r="2" spans="1:8" s="1" customFormat="1">
      <c r="E2" s="80"/>
    </row>
    <row r="3" spans="1:8" s="1" customFormat="1">
      <c r="B3" s="1" t="s">
        <v>78</v>
      </c>
      <c r="E3" s="80"/>
    </row>
    <row r="4" spans="1:8" s="1" customFormat="1" ht="15.6" thickBot="1">
      <c r="B4" s="1" t="s">
        <v>79</v>
      </c>
      <c r="E4" s="80"/>
      <c r="G4" s="79"/>
      <c r="H4" s="79"/>
    </row>
    <row r="5" spans="1:8">
      <c r="A5" s="6"/>
      <c r="B5" s="7"/>
      <c r="C5" s="40">
        <v>2021</v>
      </c>
      <c r="D5" s="23">
        <v>2020</v>
      </c>
      <c r="E5" s="22">
        <v>2021</v>
      </c>
      <c r="F5" s="23">
        <v>2020</v>
      </c>
      <c r="G5" s="3"/>
      <c r="H5" s="3"/>
    </row>
    <row r="6" spans="1:8" ht="15.6" thickBot="1">
      <c r="A6" s="4"/>
      <c r="C6" s="146" t="s">
        <v>11</v>
      </c>
      <c r="D6" s="147"/>
      <c r="E6" s="148" t="s">
        <v>12</v>
      </c>
      <c r="F6" s="147"/>
      <c r="G6" s="9"/>
      <c r="H6" s="9"/>
    </row>
    <row r="7" spans="1:8">
      <c r="A7" s="18" t="s">
        <v>14</v>
      </c>
      <c r="B7" s="1" t="s">
        <v>80</v>
      </c>
      <c r="C7" s="4"/>
      <c r="D7" s="5"/>
      <c r="F7" s="5"/>
    </row>
    <row r="8" spans="1:8">
      <c r="A8" s="4">
        <v>1</v>
      </c>
      <c r="B8" s="2" t="s">
        <v>81</v>
      </c>
      <c r="C8" s="4"/>
      <c r="D8" s="5"/>
      <c r="E8" s="4"/>
      <c r="F8" s="5"/>
    </row>
    <row r="9" spans="1:8">
      <c r="A9" s="19" t="s">
        <v>21</v>
      </c>
      <c r="B9" s="15" t="s">
        <v>82</v>
      </c>
      <c r="C9" s="4"/>
      <c r="D9" s="5"/>
      <c r="E9" s="4"/>
      <c r="F9" s="5"/>
    </row>
    <row r="10" spans="1:8">
      <c r="A10" s="19"/>
      <c r="B10" s="16" t="s">
        <v>83</v>
      </c>
      <c r="C10" s="91"/>
      <c r="D10" s="92"/>
      <c r="E10" s="91"/>
      <c r="F10" s="92"/>
    </row>
    <row r="11" spans="1:8">
      <c r="A11" s="19"/>
      <c r="B11" s="16" t="s">
        <v>84</v>
      </c>
      <c r="C11" s="91"/>
      <c r="D11" s="92"/>
      <c r="E11" s="91"/>
      <c r="F11" s="92"/>
    </row>
    <row r="12" spans="1:8">
      <c r="A12" s="19" t="s">
        <v>23</v>
      </c>
      <c r="B12" s="15" t="s">
        <v>85</v>
      </c>
      <c r="C12" s="91"/>
      <c r="D12" s="92"/>
      <c r="E12" s="91"/>
      <c r="F12" s="92"/>
    </row>
    <row r="13" spans="1:8">
      <c r="A13" s="19"/>
      <c r="B13" s="16" t="s">
        <v>83</v>
      </c>
      <c r="C13" s="91"/>
      <c r="D13" s="92"/>
      <c r="E13" s="91"/>
      <c r="F13" s="92"/>
    </row>
    <row r="14" spans="1:8">
      <c r="A14" s="19"/>
      <c r="B14" s="16" t="s">
        <v>86</v>
      </c>
      <c r="C14" s="91"/>
      <c r="D14" s="92"/>
      <c r="E14" s="91"/>
      <c r="F14" s="92"/>
    </row>
    <row r="15" spans="1:8">
      <c r="A15" s="19" t="s">
        <v>24</v>
      </c>
      <c r="B15" s="15" t="s">
        <v>87</v>
      </c>
      <c r="C15" s="91"/>
      <c r="D15" s="92"/>
      <c r="E15" s="91"/>
      <c r="F15" s="92"/>
    </row>
    <row r="16" spans="1:8">
      <c r="A16" s="19" t="s">
        <v>88</v>
      </c>
      <c r="B16" s="15" t="s">
        <v>89</v>
      </c>
      <c r="C16" s="91"/>
      <c r="D16" s="92"/>
      <c r="E16" s="91"/>
      <c r="F16" s="92"/>
    </row>
    <row r="17" spans="1:6">
      <c r="A17" s="4">
        <f>+A8+1</f>
        <v>2</v>
      </c>
      <c r="B17" s="2" t="s">
        <v>90</v>
      </c>
      <c r="C17" s="91"/>
      <c r="D17" s="92"/>
      <c r="E17" s="91"/>
      <c r="F17" s="92"/>
    </row>
    <row r="18" spans="1:6">
      <c r="A18" s="4">
        <f>+A17+1</f>
        <v>3</v>
      </c>
      <c r="B18" s="2" t="s">
        <v>91</v>
      </c>
      <c r="C18" s="91"/>
      <c r="D18" s="92"/>
      <c r="E18" s="91"/>
      <c r="F18" s="92"/>
    </row>
    <row r="19" spans="1:6">
      <c r="A19" s="4">
        <f>+A18+1</f>
        <v>4</v>
      </c>
      <c r="B19" s="2" t="s">
        <v>92</v>
      </c>
      <c r="C19" s="91"/>
      <c r="D19" s="92"/>
      <c r="E19" s="91"/>
      <c r="F19" s="92"/>
    </row>
    <row r="20" spans="1:6">
      <c r="A20" s="19" t="s">
        <v>21</v>
      </c>
      <c r="B20" s="15" t="s">
        <v>93</v>
      </c>
      <c r="C20" s="91"/>
      <c r="D20" s="92"/>
      <c r="E20" s="91"/>
      <c r="F20" s="92"/>
    </row>
    <row r="21" spans="1:6">
      <c r="A21" s="19" t="s">
        <v>23</v>
      </c>
      <c r="B21" s="15" t="s">
        <v>94</v>
      </c>
      <c r="C21" s="91"/>
      <c r="D21" s="92"/>
      <c r="E21" s="91"/>
      <c r="F21" s="92"/>
    </row>
    <row r="22" spans="1:6">
      <c r="A22" s="19" t="s">
        <v>24</v>
      </c>
      <c r="B22" s="15" t="s">
        <v>95</v>
      </c>
      <c r="C22" s="91"/>
      <c r="D22" s="92"/>
      <c r="E22" s="91"/>
      <c r="F22" s="92"/>
    </row>
    <row r="23" spans="1:6">
      <c r="A23" s="4">
        <f>+A19+1</f>
        <v>5</v>
      </c>
      <c r="B23" s="2" t="s">
        <v>96</v>
      </c>
      <c r="C23" s="91"/>
      <c r="D23" s="92"/>
      <c r="E23" s="91"/>
      <c r="F23" s="92"/>
    </row>
    <row r="24" spans="1:6">
      <c r="A24" s="4">
        <f>+A23+1</f>
        <v>6</v>
      </c>
      <c r="B24" s="2" t="s">
        <v>97</v>
      </c>
      <c r="C24" s="91"/>
      <c r="D24" s="92"/>
      <c r="E24" s="91"/>
      <c r="F24" s="92"/>
    </row>
    <row r="25" spans="1:6">
      <c r="A25" s="4">
        <f t="shared" ref="A25:A27" si="0">+A24+1</f>
        <v>7</v>
      </c>
      <c r="B25" s="2" t="s">
        <v>98</v>
      </c>
      <c r="C25" s="91"/>
      <c r="D25" s="92"/>
      <c r="E25" s="91"/>
      <c r="F25" s="92"/>
    </row>
    <row r="26" spans="1:6">
      <c r="A26" s="4">
        <f t="shared" si="0"/>
        <v>8</v>
      </c>
      <c r="B26" s="2" t="s">
        <v>99</v>
      </c>
      <c r="C26" s="91"/>
      <c r="D26" s="92"/>
      <c r="E26" s="91"/>
      <c r="F26" s="92"/>
    </row>
    <row r="27" spans="1:6">
      <c r="A27" s="4">
        <f t="shared" si="0"/>
        <v>9</v>
      </c>
      <c r="B27" s="2" t="s">
        <v>100</v>
      </c>
      <c r="C27" s="91"/>
      <c r="D27" s="92"/>
      <c r="E27" s="91"/>
      <c r="F27" s="92"/>
    </row>
    <row r="28" spans="1:6">
      <c r="A28" s="19" t="s">
        <v>21</v>
      </c>
      <c r="B28" s="15" t="s">
        <v>22</v>
      </c>
      <c r="C28" s="91"/>
      <c r="D28" s="92"/>
      <c r="E28" s="93"/>
      <c r="F28" s="92"/>
    </row>
    <row r="29" spans="1:6">
      <c r="A29" s="19" t="s">
        <v>23</v>
      </c>
      <c r="B29" s="15" t="s">
        <v>22</v>
      </c>
      <c r="C29" s="91"/>
      <c r="D29" s="92"/>
      <c r="E29" s="93"/>
      <c r="F29" s="92"/>
    </row>
    <row r="30" spans="1:6">
      <c r="A30" s="19" t="s">
        <v>24</v>
      </c>
      <c r="B30" s="15" t="s">
        <v>22</v>
      </c>
      <c r="C30" s="91"/>
      <c r="D30" s="92"/>
      <c r="E30" s="93"/>
      <c r="F30" s="92"/>
    </row>
    <row r="31" spans="1:6">
      <c r="A31" s="4"/>
      <c r="C31" s="91"/>
      <c r="D31" s="92"/>
      <c r="E31" s="93"/>
      <c r="F31" s="92"/>
    </row>
    <row r="32" spans="1:6">
      <c r="A32" s="4"/>
      <c r="B32" s="1" t="s">
        <v>101</v>
      </c>
      <c r="C32" s="94">
        <f>+SUM(C8:C30)</f>
        <v>0</v>
      </c>
      <c r="D32" s="95">
        <f>+SUM(D8:D30)</f>
        <v>0</v>
      </c>
      <c r="E32" s="94">
        <f>+SUM(E8:E30)</f>
        <v>0</v>
      </c>
      <c r="F32" s="95">
        <f>+SUM(F8:F30)</f>
        <v>0</v>
      </c>
    </row>
    <row r="33" spans="1:6">
      <c r="A33" s="4"/>
      <c r="C33" s="91"/>
      <c r="D33" s="92"/>
      <c r="E33" s="93"/>
      <c r="F33" s="92"/>
    </row>
    <row r="34" spans="1:6">
      <c r="A34" s="18" t="s">
        <v>26</v>
      </c>
      <c r="B34" s="1" t="s">
        <v>102</v>
      </c>
      <c r="C34" s="91"/>
      <c r="D34" s="92"/>
      <c r="E34" s="93"/>
      <c r="F34" s="92"/>
    </row>
    <row r="35" spans="1:6">
      <c r="A35" s="4">
        <f>+A27+1</f>
        <v>10</v>
      </c>
      <c r="B35" s="2" t="s">
        <v>103</v>
      </c>
      <c r="C35" s="91"/>
      <c r="D35" s="92"/>
      <c r="E35" s="91"/>
      <c r="F35" s="92"/>
    </row>
    <row r="36" spans="1:6">
      <c r="A36" s="19" t="s">
        <v>21</v>
      </c>
      <c r="B36" s="15" t="s">
        <v>104</v>
      </c>
      <c r="C36" s="91"/>
      <c r="D36" s="92"/>
      <c r="E36" s="91"/>
      <c r="F36" s="92"/>
    </row>
    <row r="37" spans="1:6">
      <c r="A37" s="19"/>
      <c r="B37" s="16" t="s">
        <v>105</v>
      </c>
      <c r="C37" s="91"/>
      <c r="D37" s="92"/>
      <c r="E37" s="91"/>
      <c r="F37" s="92"/>
    </row>
    <row r="38" spans="1:6">
      <c r="A38" s="19"/>
      <c r="B38" s="16" t="s">
        <v>106</v>
      </c>
      <c r="C38" s="91"/>
      <c r="D38" s="92"/>
      <c r="E38" s="91"/>
      <c r="F38" s="92"/>
    </row>
    <row r="39" spans="1:6">
      <c r="A39" s="19"/>
      <c r="B39" s="16" t="s">
        <v>107</v>
      </c>
      <c r="C39" s="91"/>
      <c r="D39" s="92"/>
      <c r="E39" s="91"/>
      <c r="F39" s="92"/>
    </row>
    <row r="40" spans="1:6">
      <c r="A40" s="19" t="s">
        <v>23</v>
      </c>
      <c r="B40" s="15" t="s">
        <v>108</v>
      </c>
      <c r="C40" s="91"/>
      <c r="D40" s="92"/>
      <c r="E40" s="91"/>
      <c r="F40" s="92"/>
    </row>
    <row r="41" spans="1:6">
      <c r="A41" s="19" t="s">
        <v>24</v>
      </c>
      <c r="B41" s="15" t="s">
        <v>109</v>
      </c>
      <c r="C41" s="91"/>
      <c r="D41" s="92"/>
      <c r="E41" s="91"/>
      <c r="F41" s="92"/>
    </row>
    <row r="42" spans="1:6">
      <c r="A42" s="19" t="s">
        <v>88</v>
      </c>
      <c r="B42" s="15" t="s">
        <v>110</v>
      </c>
      <c r="C42" s="91"/>
      <c r="D42" s="92"/>
      <c r="E42" s="91"/>
      <c r="F42" s="92"/>
    </row>
    <row r="43" spans="1:6">
      <c r="A43" s="19" t="s">
        <v>111</v>
      </c>
      <c r="B43" s="15" t="s">
        <v>112</v>
      </c>
      <c r="C43" s="91"/>
      <c r="D43" s="92"/>
      <c r="E43" s="91"/>
      <c r="F43" s="92"/>
    </row>
    <row r="44" spans="1:6">
      <c r="A44" s="19" t="s">
        <v>113</v>
      </c>
      <c r="B44" s="15" t="s">
        <v>114</v>
      </c>
      <c r="C44" s="91"/>
      <c r="D44" s="92"/>
      <c r="E44" s="91"/>
      <c r="F44" s="92"/>
    </row>
    <row r="45" spans="1:6">
      <c r="A45" s="19" t="s">
        <v>115</v>
      </c>
      <c r="B45" s="15" t="s">
        <v>116</v>
      </c>
      <c r="C45" s="91"/>
      <c r="D45" s="92"/>
      <c r="E45" s="91"/>
      <c r="F45" s="92"/>
    </row>
    <row r="46" spans="1:6">
      <c r="A46" s="4">
        <f>+A35+1</f>
        <v>11</v>
      </c>
      <c r="B46" s="2" t="s">
        <v>117</v>
      </c>
      <c r="C46" s="91"/>
      <c r="D46" s="92"/>
      <c r="E46" s="91"/>
      <c r="F46" s="92"/>
    </row>
    <row r="47" spans="1:6">
      <c r="A47" s="4">
        <f>+A46+1</f>
        <v>12</v>
      </c>
      <c r="B47" s="2" t="s">
        <v>118</v>
      </c>
      <c r="C47" s="91"/>
      <c r="D47" s="92"/>
      <c r="E47" s="91"/>
      <c r="F47" s="92"/>
    </row>
    <row r="48" spans="1:6">
      <c r="A48" s="4">
        <f>+A47+1</f>
        <v>13</v>
      </c>
      <c r="B48" s="2" t="s">
        <v>119</v>
      </c>
      <c r="C48" s="91"/>
      <c r="D48" s="92"/>
      <c r="E48" s="91"/>
      <c r="F48" s="92"/>
    </row>
    <row r="49" spans="1:6">
      <c r="A49" s="4"/>
      <c r="B49" s="15" t="s">
        <v>120</v>
      </c>
      <c r="C49" s="91"/>
      <c r="D49" s="92"/>
      <c r="E49" s="91"/>
      <c r="F49" s="92"/>
    </row>
    <row r="50" spans="1:6">
      <c r="A50" s="4"/>
      <c r="B50" s="15" t="s">
        <v>121</v>
      </c>
      <c r="C50" s="91"/>
      <c r="D50" s="92"/>
      <c r="E50" s="91"/>
      <c r="F50" s="92"/>
    </row>
    <row r="51" spans="1:6">
      <c r="A51" s="4"/>
      <c r="B51" s="15" t="s">
        <v>122</v>
      </c>
      <c r="C51" s="91"/>
      <c r="D51" s="92"/>
      <c r="E51" s="91"/>
      <c r="F51" s="92"/>
    </row>
    <row r="52" spans="1:6">
      <c r="A52" s="4"/>
      <c r="B52" s="15" t="s">
        <v>123</v>
      </c>
      <c r="C52" s="91"/>
      <c r="D52" s="92"/>
      <c r="E52" s="91"/>
      <c r="F52" s="92"/>
    </row>
    <row r="53" spans="1:6">
      <c r="A53" s="4"/>
      <c r="B53" s="15" t="s">
        <v>124</v>
      </c>
      <c r="C53" s="91"/>
      <c r="D53" s="92"/>
      <c r="E53" s="91"/>
      <c r="F53" s="92"/>
    </row>
    <row r="54" spans="1:6">
      <c r="A54" s="4"/>
      <c r="B54" s="15" t="s">
        <v>125</v>
      </c>
      <c r="C54" s="91"/>
      <c r="D54" s="92"/>
      <c r="E54" s="91"/>
      <c r="F54" s="92"/>
    </row>
    <row r="55" spans="1:6">
      <c r="A55" s="4"/>
      <c r="B55" s="15" t="s">
        <v>126</v>
      </c>
      <c r="C55" s="91"/>
      <c r="D55" s="92"/>
      <c r="E55" s="91"/>
      <c r="F55" s="92"/>
    </row>
    <row r="56" spans="1:6">
      <c r="A56" s="4"/>
      <c r="B56" s="15" t="s">
        <v>127</v>
      </c>
      <c r="C56" s="91"/>
      <c r="D56" s="92"/>
      <c r="E56" s="91"/>
      <c r="F56" s="92"/>
    </row>
    <row r="57" spans="1:6">
      <c r="A57" s="4"/>
      <c r="B57" s="15" t="s">
        <v>128</v>
      </c>
      <c r="C57" s="91"/>
      <c r="D57" s="92"/>
      <c r="E57" s="91"/>
      <c r="F57" s="92"/>
    </row>
    <row r="58" spans="1:6">
      <c r="A58" s="4"/>
      <c r="B58" s="15" t="s">
        <v>129</v>
      </c>
      <c r="C58" s="91"/>
      <c r="D58" s="92"/>
      <c r="E58" s="91"/>
      <c r="F58" s="92"/>
    </row>
    <row r="59" spans="1:6">
      <c r="A59" s="4"/>
      <c r="B59" s="15" t="s">
        <v>130</v>
      </c>
      <c r="C59" s="91"/>
      <c r="D59" s="92"/>
      <c r="E59" s="91"/>
      <c r="F59" s="92"/>
    </row>
    <row r="60" spans="1:6">
      <c r="A60" s="4"/>
      <c r="B60" s="15" t="s">
        <v>131</v>
      </c>
      <c r="C60" s="91"/>
      <c r="D60" s="92"/>
      <c r="E60" s="91"/>
      <c r="F60" s="92"/>
    </row>
    <row r="61" spans="1:6">
      <c r="A61" s="4">
        <f>+A48+1</f>
        <v>14</v>
      </c>
      <c r="B61" s="2" t="s">
        <v>132</v>
      </c>
      <c r="C61" s="91"/>
      <c r="D61" s="92"/>
      <c r="E61" s="91"/>
      <c r="F61" s="92"/>
    </row>
    <row r="62" spans="1:6">
      <c r="A62" s="4">
        <f>+A61+1</f>
        <v>15</v>
      </c>
      <c r="B62" s="2" t="s">
        <v>133</v>
      </c>
      <c r="C62" s="91"/>
      <c r="D62" s="92"/>
      <c r="E62" s="91"/>
      <c r="F62" s="92"/>
    </row>
    <row r="63" spans="1:6">
      <c r="A63" s="4">
        <f t="shared" ref="A63:A64" si="1">+A62+1</f>
        <v>16</v>
      </c>
      <c r="B63" s="2" t="s">
        <v>134</v>
      </c>
      <c r="C63" s="91"/>
      <c r="D63" s="92"/>
      <c r="E63" s="91"/>
      <c r="F63" s="92"/>
    </row>
    <row r="64" spans="1:6">
      <c r="A64" s="4">
        <f t="shared" si="1"/>
        <v>17</v>
      </c>
      <c r="B64" s="2" t="s">
        <v>135</v>
      </c>
      <c r="C64" s="91"/>
      <c r="D64" s="92"/>
      <c r="E64" s="91"/>
      <c r="F64" s="92"/>
    </row>
    <row r="65" spans="1:6">
      <c r="A65" s="4">
        <f t="shared" ref="A65:A69" si="2">+A64+1</f>
        <v>18</v>
      </c>
      <c r="B65" s="2" t="s">
        <v>136</v>
      </c>
      <c r="C65" s="91"/>
      <c r="D65" s="92"/>
      <c r="E65" s="91"/>
      <c r="F65" s="92"/>
    </row>
    <row r="66" spans="1:6">
      <c r="A66" s="4">
        <f t="shared" si="2"/>
        <v>19</v>
      </c>
      <c r="B66" s="2" t="s">
        <v>137</v>
      </c>
      <c r="C66" s="91"/>
      <c r="D66" s="92"/>
      <c r="E66" s="91"/>
      <c r="F66" s="92"/>
    </row>
    <row r="67" spans="1:6">
      <c r="A67" s="4">
        <f t="shared" si="2"/>
        <v>20</v>
      </c>
      <c r="B67" s="2" t="s">
        <v>138</v>
      </c>
      <c r="C67" s="91"/>
      <c r="D67" s="92"/>
      <c r="E67" s="91"/>
      <c r="F67" s="92"/>
    </row>
    <row r="68" spans="1:6">
      <c r="A68" s="4">
        <f t="shared" si="2"/>
        <v>21</v>
      </c>
      <c r="B68" s="2" t="s">
        <v>139</v>
      </c>
      <c r="C68" s="91"/>
      <c r="D68" s="92"/>
      <c r="E68" s="91"/>
      <c r="F68" s="92"/>
    </row>
    <row r="69" spans="1:6">
      <c r="A69" s="4">
        <f t="shared" si="2"/>
        <v>22</v>
      </c>
      <c r="B69" s="2" t="s">
        <v>140</v>
      </c>
      <c r="C69" s="91"/>
      <c r="D69" s="92"/>
      <c r="E69" s="91"/>
      <c r="F69" s="92"/>
    </row>
    <row r="70" spans="1:6">
      <c r="A70" s="4"/>
      <c r="B70" s="15" t="s">
        <v>22</v>
      </c>
      <c r="C70" s="91"/>
      <c r="D70" s="92"/>
      <c r="E70" s="91"/>
      <c r="F70" s="92"/>
    </row>
    <row r="71" spans="1:6">
      <c r="A71" s="4"/>
      <c r="B71" s="15" t="s">
        <v>22</v>
      </c>
      <c r="C71" s="91"/>
      <c r="D71" s="92"/>
      <c r="E71" s="91"/>
      <c r="F71" s="92"/>
    </row>
    <row r="72" spans="1:6">
      <c r="A72" s="4"/>
      <c r="B72" s="15" t="s">
        <v>22</v>
      </c>
      <c r="C72" s="91"/>
      <c r="D72" s="92"/>
      <c r="E72" s="91"/>
      <c r="F72" s="92"/>
    </row>
    <row r="73" spans="1:6">
      <c r="A73" s="4">
        <f>+A69+1</f>
        <v>23</v>
      </c>
      <c r="B73" s="17" t="s">
        <v>141</v>
      </c>
      <c r="C73" s="91"/>
      <c r="D73" s="92"/>
      <c r="E73" s="91"/>
      <c r="F73" s="92"/>
    </row>
    <row r="74" spans="1:6">
      <c r="A74" s="4"/>
      <c r="B74" s="15" t="s">
        <v>22</v>
      </c>
      <c r="C74" s="91"/>
      <c r="D74" s="92"/>
      <c r="E74" s="91"/>
      <c r="F74" s="92"/>
    </row>
    <row r="75" spans="1:6">
      <c r="A75" s="4"/>
      <c r="B75" s="15" t="s">
        <v>22</v>
      </c>
      <c r="C75" s="91"/>
      <c r="D75" s="92"/>
      <c r="E75" s="91"/>
      <c r="F75" s="92"/>
    </row>
    <row r="76" spans="1:6">
      <c r="A76" s="4"/>
      <c r="B76" s="15" t="s">
        <v>22</v>
      </c>
      <c r="C76" s="91"/>
      <c r="D76" s="92"/>
      <c r="E76" s="91"/>
      <c r="F76" s="92"/>
    </row>
    <row r="77" spans="1:6">
      <c r="A77" s="4"/>
      <c r="C77" s="91"/>
      <c r="D77" s="92"/>
      <c r="E77" s="91"/>
      <c r="F77" s="92"/>
    </row>
    <row r="78" spans="1:6">
      <c r="A78" s="4"/>
      <c r="B78" s="1" t="s">
        <v>142</v>
      </c>
      <c r="C78" s="94">
        <f>+SUM(C35:C76)</f>
        <v>0</v>
      </c>
      <c r="D78" s="95">
        <f>+SUM(D35:D76)</f>
        <v>0</v>
      </c>
      <c r="E78" s="94">
        <f>+SUM(E35:E76)</f>
        <v>0</v>
      </c>
      <c r="F78" s="95">
        <f>+SUM(F35:F76)</f>
        <v>0</v>
      </c>
    </row>
    <row r="79" spans="1:6">
      <c r="A79" s="4"/>
      <c r="B79" s="1"/>
      <c r="C79" s="91"/>
      <c r="D79" s="92"/>
      <c r="E79" s="93"/>
      <c r="F79" s="92"/>
    </row>
    <row r="80" spans="1:6">
      <c r="A80" s="4"/>
      <c r="B80" s="1" t="s">
        <v>143</v>
      </c>
      <c r="C80" s="94">
        <f>+C32-C78</f>
        <v>0</v>
      </c>
      <c r="D80" s="95">
        <f>+D32-D78</f>
        <v>0</v>
      </c>
      <c r="E80" s="96">
        <f>+E32-E78</f>
        <v>0</v>
      </c>
      <c r="F80" s="95">
        <f>+F32-F78</f>
        <v>0</v>
      </c>
    </row>
    <row r="81" spans="1:6" ht="15.6" thickBot="1">
      <c r="A81" s="20"/>
      <c r="B81" s="21"/>
      <c r="C81" s="97"/>
      <c r="D81" s="98"/>
      <c r="E81" s="99"/>
      <c r="F81" s="98"/>
    </row>
    <row r="82" spans="1:6">
      <c r="B82" s="1"/>
    </row>
    <row r="83" spans="1:6">
      <c r="B83" s="2" t="s">
        <v>74</v>
      </c>
      <c r="D83" s="2" t="s">
        <v>75</v>
      </c>
    </row>
    <row r="84" spans="1:6">
      <c r="B84" s="2" t="s">
        <v>76</v>
      </c>
      <c r="D84" s="2" t="s">
        <v>75</v>
      </c>
    </row>
    <row r="85" spans="1:6">
      <c r="B85" s="2" t="s">
        <v>77</v>
      </c>
      <c r="D85" s="2" t="s">
        <v>75</v>
      </c>
    </row>
    <row r="90" spans="1:6">
      <c r="B90" s="1"/>
    </row>
    <row r="91" spans="1:6">
      <c r="B91" s="1"/>
    </row>
  </sheetData>
  <sheetProtection algorithmName="SHA-512" hashValue="gghRk5ibvxQ0QB/X3CF27pPHncwmwrQW7UMxmpkV/o1uTpMmBIy4HjP8EVOL1RiZht9Zr3dQbH8DR03BF9yV3Q==" saltValue="uKZoaqBVXdtSlTNBAhBDYQ==" spinCount="100000" sheet="1" objects="1" scenarios="1"/>
  <protectedRanges>
    <protectedRange sqref="B74:B76" name="Range6"/>
    <protectedRange sqref="B70:B72" name="Range5"/>
    <protectedRange sqref="B28:B30" name="Range4"/>
    <protectedRange sqref="C35:F76" name="Range2"/>
    <protectedRange sqref="C7:F30" name="Range1"/>
    <protectedRange sqref="B1" name="Range3"/>
  </protectedRanges>
  <mergeCells count="2">
    <mergeCell ref="E6:F6"/>
    <mergeCell ref="C6:D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0A93-5FA0-4FC6-9523-4F6A2716ED03}">
  <dimension ref="A1:E46"/>
  <sheetViews>
    <sheetView topLeftCell="A31" workbookViewId="0">
      <selection activeCell="B47" sqref="B47"/>
    </sheetView>
  </sheetViews>
  <sheetFormatPr defaultRowHeight="13.15"/>
  <cols>
    <col min="2" max="2" width="41.42578125" bestFit="1" customWidth="1"/>
    <col min="3" max="4" width="37.140625" customWidth="1"/>
  </cols>
  <sheetData>
    <row r="1" spans="1:5" s="1" customFormat="1" ht="15">
      <c r="B1" s="1" t="s">
        <v>9</v>
      </c>
    </row>
    <row r="2" spans="1:5" s="1" customFormat="1" ht="15"/>
    <row r="3" spans="1:5" s="1" customFormat="1" ht="15.6" thickBot="1">
      <c r="A3" s="79"/>
      <c r="B3" s="79" t="s">
        <v>144</v>
      </c>
      <c r="C3" s="79"/>
      <c r="D3" s="79"/>
    </row>
    <row r="4" spans="1:5" s="2" customFormat="1" ht="15">
      <c r="A4" s="6"/>
      <c r="B4" s="7"/>
      <c r="C4" s="40">
        <v>2021</v>
      </c>
      <c r="D4" s="23">
        <v>2020</v>
      </c>
      <c r="E4" s="9"/>
    </row>
    <row r="5" spans="1:5" s="2" customFormat="1" ht="15.6" thickBot="1">
      <c r="A5" s="4"/>
      <c r="C5" s="146" t="s">
        <v>145</v>
      </c>
      <c r="D5" s="147"/>
      <c r="E5" s="9"/>
    </row>
    <row r="6" spans="1:5" s="14" customFormat="1" ht="15">
      <c r="A6" s="26"/>
      <c r="B6" s="31"/>
      <c r="C6" s="26"/>
      <c r="D6" s="28"/>
    </row>
    <row r="7" spans="1:5" s="14" customFormat="1" ht="15">
      <c r="A7" s="24"/>
      <c r="B7" s="13" t="s">
        <v>27</v>
      </c>
      <c r="C7" s="86"/>
      <c r="D7" s="87"/>
    </row>
    <row r="8" spans="1:5" s="14" customFormat="1" ht="15">
      <c r="A8" s="26"/>
      <c r="B8" s="27" t="s">
        <v>29</v>
      </c>
      <c r="C8" s="86"/>
      <c r="D8" s="87"/>
    </row>
    <row r="9" spans="1:5" s="14" customFormat="1" ht="15">
      <c r="A9" s="32"/>
      <c r="B9" s="31" t="s">
        <v>30</v>
      </c>
      <c r="C9" s="86"/>
      <c r="D9" s="87"/>
    </row>
    <row r="10" spans="1:5" s="14" customFormat="1" ht="15">
      <c r="A10" s="32"/>
      <c r="B10" s="31" t="s">
        <v>31</v>
      </c>
      <c r="C10" s="100"/>
      <c r="D10" s="101"/>
    </row>
    <row r="11" spans="1:5" s="14" customFormat="1" ht="15">
      <c r="A11" s="26"/>
      <c r="B11" s="27" t="s">
        <v>32</v>
      </c>
      <c r="C11" s="100"/>
      <c r="D11" s="101"/>
    </row>
    <row r="12" spans="1:5" s="14" customFormat="1" ht="15">
      <c r="A12" s="26"/>
      <c r="B12" s="31" t="s">
        <v>33</v>
      </c>
      <c r="C12" s="100"/>
      <c r="D12" s="101"/>
    </row>
    <row r="13" spans="1:5" s="14" customFormat="1" ht="15">
      <c r="A13" s="26"/>
      <c r="B13" s="31" t="s">
        <v>34</v>
      </c>
      <c r="C13" s="100"/>
      <c r="D13" s="101"/>
    </row>
    <row r="14" spans="1:5" s="14" customFormat="1" ht="15">
      <c r="A14" s="26"/>
      <c r="B14" s="27" t="s">
        <v>35</v>
      </c>
      <c r="C14" s="100"/>
      <c r="D14" s="101"/>
    </row>
    <row r="15" spans="1:5" s="14" customFormat="1" ht="15">
      <c r="A15" s="26"/>
      <c r="B15" s="27" t="s">
        <v>36</v>
      </c>
      <c r="C15" s="100"/>
      <c r="D15" s="101"/>
    </row>
    <row r="16" spans="1:5" s="14" customFormat="1" ht="15">
      <c r="A16" s="26"/>
      <c r="B16" s="27" t="s">
        <v>37</v>
      </c>
      <c r="C16" s="100"/>
      <c r="D16" s="101"/>
    </row>
    <row r="17" spans="1:4" s="14" customFormat="1" ht="15">
      <c r="A17" s="26"/>
      <c r="B17" s="27" t="s">
        <v>38</v>
      </c>
      <c r="C17" s="100"/>
      <c r="D17" s="101"/>
    </row>
    <row r="18" spans="1:4" s="14" customFormat="1" ht="15">
      <c r="A18" s="4"/>
      <c r="B18" s="2" t="s">
        <v>20</v>
      </c>
      <c r="C18" s="100"/>
      <c r="D18" s="101"/>
    </row>
    <row r="19" spans="1:4" s="14" customFormat="1" ht="15">
      <c r="A19" s="19"/>
      <c r="B19" s="15" t="s">
        <v>22</v>
      </c>
      <c r="C19" s="100"/>
      <c r="D19" s="101"/>
    </row>
    <row r="20" spans="1:4" s="14" customFormat="1" ht="15">
      <c r="A20" s="19"/>
      <c r="B20" s="15" t="s">
        <v>22</v>
      </c>
      <c r="C20" s="100"/>
      <c r="D20" s="101"/>
    </row>
    <row r="21" spans="1:4" s="14" customFormat="1" ht="15">
      <c r="A21" s="19"/>
      <c r="B21" s="15" t="s">
        <v>22</v>
      </c>
      <c r="C21" s="100"/>
      <c r="D21" s="101"/>
    </row>
    <row r="22" spans="1:4" s="13" customFormat="1" ht="15">
      <c r="A22" s="29"/>
      <c r="B22" s="30" t="s">
        <v>39</v>
      </c>
      <c r="C22" s="83">
        <f>+SUM(C8:C21)</f>
        <v>0</v>
      </c>
      <c r="D22" s="84">
        <f>+SUM(D8:D21)</f>
        <v>0</v>
      </c>
    </row>
    <row r="23" spans="1:4" s="2" customFormat="1" ht="15">
      <c r="A23" s="4"/>
      <c r="C23" s="91"/>
      <c r="D23" s="92"/>
    </row>
    <row r="24" spans="1:4" s="2" customFormat="1" ht="15">
      <c r="A24" s="18"/>
      <c r="B24" s="1" t="s">
        <v>41</v>
      </c>
      <c r="C24" s="91"/>
      <c r="D24" s="92"/>
    </row>
    <row r="25" spans="1:4" s="12" customFormat="1" ht="13.9">
      <c r="A25" s="33"/>
      <c r="B25" s="12" t="s">
        <v>32</v>
      </c>
      <c r="C25" s="102"/>
      <c r="D25" s="103"/>
    </row>
    <row r="26" spans="1:4" s="12" customFormat="1" ht="13.9">
      <c r="A26" s="33"/>
      <c r="B26" s="34" t="s">
        <v>42</v>
      </c>
      <c r="C26" s="102"/>
      <c r="D26" s="103"/>
    </row>
    <row r="27" spans="1:4" s="12" customFormat="1" ht="13.9">
      <c r="A27" s="33"/>
      <c r="B27" s="34" t="s">
        <v>34</v>
      </c>
      <c r="C27" s="104"/>
      <c r="D27" s="105"/>
    </row>
    <row r="28" spans="1:4" s="12" customFormat="1" ht="13.9">
      <c r="A28" s="33"/>
      <c r="B28" s="35" t="s">
        <v>37</v>
      </c>
      <c r="C28" s="104"/>
      <c r="D28" s="105"/>
    </row>
    <row r="29" spans="1:4" s="12" customFormat="1" ht="13.9">
      <c r="A29" s="33"/>
      <c r="B29" s="35" t="s">
        <v>43</v>
      </c>
      <c r="C29" s="104"/>
      <c r="D29" s="105"/>
    </row>
    <row r="30" spans="1:4" s="12" customFormat="1" ht="13.9">
      <c r="A30" s="33"/>
      <c r="B30" s="35" t="s">
        <v>44</v>
      </c>
      <c r="C30" s="104"/>
      <c r="D30" s="105"/>
    </row>
    <row r="31" spans="1:4" s="12" customFormat="1" ht="15">
      <c r="A31" s="4"/>
      <c r="B31" s="2" t="s">
        <v>20</v>
      </c>
      <c r="C31" s="104"/>
      <c r="D31" s="105"/>
    </row>
    <row r="32" spans="1:4" s="12" customFormat="1" ht="15">
      <c r="A32" s="19"/>
      <c r="B32" s="15" t="s">
        <v>22</v>
      </c>
      <c r="C32" s="104"/>
      <c r="D32" s="105"/>
    </row>
    <row r="33" spans="1:4" s="12" customFormat="1" ht="15">
      <c r="A33" s="19"/>
      <c r="B33" s="15" t="s">
        <v>22</v>
      </c>
      <c r="C33" s="104"/>
      <c r="D33" s="105"/>
    </row>
    <row r="34" spans="1:4" s="12" customFormat="1" ht="15">
      <c r="A34" s="19"/>
      <c r="B34" s="15" t="s">
        <v>22</v>
      </c>
      <c r="C34" s="104"/>
      <c r="D34" s="105"/>
    </row>
    <row r="35" spans="1:4" s="13" customFormat="1" ht="15">
      <c r="A35" s="29"/>
      <c r="B35" s="30" t="s">
        <v>45</v>
      </c>
      <c r="C35" s="83">
        <f>+SUM(C25:C34)</f>
        <v>0</v>
      </c>
      <c r="D35" s="84">
        <f>+SUM(D25:D34)</f>
        <v>0</v>
      </c>
    </row>
    <row r="36" spans="1:4" s="2" customFormat="1" ht="15">
      <c r="A36" s="4"/>
      <c r="C36" s="91"/>
      <c r="D36" s="92"/>
    </row>
    <row r="37" spans="1:4" s="12" customFormat="1" ht="13.9">
      <c r="A37" s="36"/>
      <c r="B37" s="37" t="s">
        <v>47</v>
      </c>
      <c r="C37" s="102"/>
      <c r="D37" s="103"/>
    </row>
    <row r="38" spans="1:4" s="12" customFormat="1" ht="13.9">
      <c r="A38" s="33"/>
      <c r="B38" s="35" t="s">
        <v>49</v>
      </c>
      <c r="C38" s="102"/>
      <c r="D38" s="105"/>
    </row>
    <row r="39" spans="1:4" s="12" customFormat="1" ht="13.9">
      <c r="A39" s="33"/>
      <c r="B39" s="35" t="s">
        <v>50</v>
      </c>
      <c r="C39" s="102"/>
      <c r="D39" s="105"/>
    </row>
    <row r="40" spans="1:4" s="12" customFormat="1" ht="15">
      <c r="A40" s="4"/>
      <c r="B40" s="2" t="s">
        <v>20</v>
      </c>
      <c r="C40" s="102"/>
      <c r="D40" s="105"/>
    </row>
    <row r="41" spans="1:4" s="12" customFormat="1" ht="15">
      <c r="A41" s="19"/>
      <c r="B41" s="15" t="s">
        <v>22</v>
      </c>
      <c r="C41" s="102"/>
      <c r="D41" s="105"/>
    </row>
    <row r="42" spans="1:4" s="12" customFormat="1" ht="15">
      <c r="A42" s="19"/>
      <c r="B42" s="15" t="s">
        <v>22</v>
      </c>
      <c r="C42" s="102"/>
      <c r="D42" s="105"/>
    </row>
    <row r="43" spans="1:4" s="12" customFormat="1" ht="15">
      <c r="A43" s="19"/>
      <c r="B43" s="15" t="s">
        <v>22</v>
      </c>
      <c r="C43" s="102"/>
      <c r="D43" s="105"/>
    </row>
    <row r="44" spans="1:4" s="13" customFormat="1" ht="15">
      <c r="A44" s="29"/>
      <c r="B44" s="30" t="s">
        <v>51</v>
      </c>
      <c r="C44" s="83">
        <f>+SUM(C38:C43)</f>
        <v>0</v>
      </c>
      <c r="D44" s="84">
        <f>+SUM(D38:D43)</f>
        <v>0</v>
      </c>
    </row>
    <row r="45" spans="1:4" s="12" customFormat="1" ht="13.9">
      <c r="A45" s="33"/>
      <c r="B45" s="38"/>
      <c r="C45" s="102"/>
      <c r="D45" s="103"/>
    </row>
    <row r="46" spans="1:4" s="2" customFormat="1" ht="15.6" thickBot="1">
      <c r="A46" s="20"/>
      <c r="B46" s="21" t="s">
        <v>52</v>
      </c>
      <c r="C46" s="106">
        <f>+C44+C35+C22</f>
        <v>0</v>
      </c>
      <c r="D46" s="107">
        <f>+D44+D35+D22</f>
        <v>0</v>
      </c>
    </row>
  </sheetData>
  <protectedRanges>
    <protectedRange sqref="B19:B21" name="Range6"/>
    <protectedRange sqref="C38:D43" name="Range3"/>
    <protectedRange sqref="C25:D34" name="Range2"/>
    <protectedRange sqref="C8:D21" name="Range1"/>
    <protectedRange sqref="B32:B34" name="Range4"/>
    <protectedRange sqref="B41:B43" name="Range5"/>
  </protectedRanges>
  <mergeCells count="1"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E885-EF25-4A35-8292-3B5BE472CAA4}">
  <dimension ref="A1:F66"/>
  <sheetViews>
    <sheetView topLeftCell="A49" zoomScale="98" zoomScaleNormal="98" workbookViewId="0">
      <selection activeCell="C60" sqref="C60"/>
    </sheetView>
  </sheetViews>
  <sheetFormatPr defaultColWidth="8.85546875" defaultRowHeight="15"/>
  <cols>
    <col min="1" max="1" width="8.85546875" style="2"/>
    <col min="2" max="2" width="62.7109375" style="2" bestFit="1" customWidth="1"/>
    <col min="3" max="6" width="28.28515625" style="2" customWidth="1"/>
    <col min="7" max="16384" width="8.85546875" style="2"/>
  </cols>
  <sheetData>
    <row r="1" spans="1:6">
      <c r="B1" s="1" t="s">
        <v>9</v>
      </c>
    </row>
    <row r="2" spans="1:6">
      <c r="B2" s="1"/>
    </row>
    <row r="3" spans="1:6">
      <c r="B3" s="1" t="s">
        <v>146</v>
      </c>
    </row>
    <row r="4" spans="1:6">
      <c r="B4" s="1"/>
    </row>
    <row r="5" spans="1:6" ht="15.6" thickBot="1">
      <c r="B5" s="1" t="s">
        <v>79</v>
      </c>
    </row>
    <row r="6" spans="1:6">
      <c r="A6" s="6"/>
      <c r="B6" s="8"/>
      <c r="C6" s="22">
        <v>2021</v>
      </c>
      <c r="D6" s="23">
        <v>2020</v>
      </c>
      <c r="E6" s="22">
        <v>2021</v>
      </c>
      <c r="F6" s="23">
        <v>2020</v>
      </c>
    </row>
    <row r="7" spans="1:6" ht="15.6" thickBot="1">
      <c r="A7" s="4"/>
      <c r="B7" s="5"/>
      <c r="C7" s="148" t="s">
        <v>11</v>
      </c>
      <c r="D7" s="147"/>
      <c r="E7" s="148" t="s">
        <v>12</v>
      </c>
      <c r="F7" s="147"/>
    </row>
    <row r="8" spans="1:6">
      <c r="A8" s="18" t="s">
        <v>14</v>
      </c>
      <c r="B8" s="1" t="s">
        <v>147</v>
      </c>
      <c r="C8" s="6"/>
      <c r="D8" s="8"/>
      <c r="F8" s="5"/>
    </row>
    <row r="9" spans="1:6">
      <c r="A9" s="4"/>
      <c r="C9" s="4"/>
      <c r="D9" s="5"/>
      <c r="F9" s="5"/>
    </row>
    <row r="10" spans="1:6">
      <c r="A10" s="4">
        <v>1</v>
      </c>
      <c r="B10" s="1" t="s">
        <v>148</v>
      </c>
      <c r="C10" s="4"/>
      <c r="D10" s="5"/>
      <c r="F10" s="5"/>
    </row>
    <row r="11" spans="1:6">
      <c r="A11" s="19" t="s">
        <v>21</v>
      </c>
      <c r="B11" s="15" t="s">
        <v>149</v>
      </c>
      <c r="C11" s="91"/>
      <c r="D11" s="92"/>
      <c r="E11" s="71"/>
      <c r="F11" s="92"/>
    </row>
    <row r="12" spans="1:6">
      <c r="A12" s="19" t="s">
        <v>23</v>
      </c>
      <c r="B12" s="15" t="s">
        <v>150</v>
      </c>
      <c r="C12" s="91"/>
      <c r="D12" s="92"/>
      <c r="E12" s="71"/>
      <c r="F12" s="92"/>
    </row>
    <row r="13" spans="1:6">
      <c r="A13" s="59" t="s">
        <v>24</v>
      </c>
      <c r="B13" s="17" t="s">
        <v>151</v>
      </c>
      <c r="C13" s="91"/>
      <c r="D13" s="92"/>
      <c r="E13" s="71"/>
      <c r="F13" s="92"/>
    </row>
    <row r="14" spans="1:6">
      <c r="A14" s="59" t="s">
        <v>88</v>
      </c>
      <c r="B14" s="17" t="s">
        <v>152</v>
      </c>
      <c r="C14" s="91"/>
      <c r="D14" s="92"/>
      <c r="E14" s="71"/>
      <c r="F14" s="92"/>
    </row>
    <row r="15" spans="1:6">
      <c r="B15" s="2" t="s">
        <v>153</v>
      </c>
      <c r="C15" s="94">
        <f>+SUM(C11:C14)</f>
        <v>0</v>
      </c>
      <c r="D15" s="95">
        <f>+SUM(D11:D14)</f>
        <v>0</v>
      </c>
      <c r="E15" s="96">
        <f>+SUM(E11:E14)</f>
        <v>0</v>
      </c>
      <c r="F15" s="95">
        <f>+SUM(F11:F14)</f>
        <v>0</v>
      </c>
    </row>
    <row r="16" spans="1:6">
      <c r="C16" s="91"/>
      <c r="D16" s="92"/>
      <c r="E16" s="71"/>
      <c r="F16" s="92"/>
    </row>
    <row r="17" spans="1:6">
      <c r="A17" s="19">
        <f>+A10+1</f>
        <v>2</v>
      </c>
      <c r="B17" s="1" t="s">
        <v>154</v>
      </c>
      <c r="C17" s="91"/>
      <c r="D17" s="92"/>
      <c r="E17" s="71"/>
      <c r="F17" s="92"/>
    </row>
    <row r="18" spans="1:6">
      <c r="A18" s="19" t="s">
        <v>21</v>
      </c>
      <c r="B18" s="15" t="s">
        <v>155</v>
      </c>
      <c r="C18" s="91"/>
      <c r="D18" s="92"/>
      <c r="E18" s="71"/>
      <c r="F18" s="92"/>
    </row>
    <row r="19" spans="1:6">
      <c r="A19" s="19" t="s">
        <v>23</v>
      </c>
      <c r="B19" s="15" t="s">
        <v>156</v>
      </c>
      <c r="C19" s="91"/>
      <c r="D19" s="92"/>
      <c r="E19" s="71"/>
      <c r="F19" s="92"/>
    </row>
    <row r="20" spans="1:6">
      <c r="A20" s="19" t="s">
        <v>24</v>
      </c>
      <c r="B20" s="15" t="s">
        <v>157</v>
      </c>
      <c r="C20" s="91"/>
      <c r="D20" s="92"/>
      <c r="E20" s="71"/>
      <c r="F20" s="92"/>
    </row>
    <row r="21" spans="1:6">
      <c r="A21" s="4">
        <v>5</v>
      </c>
      <c r="B21" s="2" t="s">
        <v>158</v>
      </c>
      <c r="C21" s="91"/>
      <c r="D21" s="92"/>
      <c r="E21" s="71"/>
      <c r="F21" s="92"/>
    </row>
    <row r="22" spans="1:6">
      <c r="A22" s="19" t="s">
        <v>21</v>
      </c>
      <c r="B22" s="15" t="s">
        <v>22</v>
      </c>
      <c r="C22" s="91"/>
      <c r="D22" s="92"/>
      <c r="E22" s="71"/>
      <c r="F22" s="92"/>
    </row>
    <row r="23" spans="1:6">
      <c r="A23" s="19" t="s">
        <v>23</v>
      </c>
      <c r="B23" s="15" t="s">
        <v>22</v>
      </c>
      <c r="C23" s="91"/>
      <c r="D23" s="92"/>
      <c r="E23" s="71"/>
      <c r="F23" s="92"/>
    </row>
    <row r="24" spans="1:6">
      <c r="A24" s="19" t="s">
        <v>24</v>
      </c>
      <c r="B24" s="15" t="s">
        <v>22</v>
      </c>
      <c r="C24" s="91"/>
      <c r="D24" s="92"/>
      <c r="E24" s="71"/>
      <c r="F24" s="92"/>
    </row>
    <row r="25" spans="1:6">
      <c r="A25" s="4">
        <f>+A21+1</f>
        <v>6</v>
      </c>
      <c r="B25" s="15" t="s">
        <v>120</v>
      </c>
      <c r="C25" s="91"/>
      <c r="D25" s="92"/>
      <c r="E25" s="71"/>
      <c r="F25" s="92"/>
    </row>
    <row r="26" spans="1:6">
      <c r="A26" s="4">
        <f t="shared" ref="A26:A36" si="0">+A25+1</f>
        <v>7</v>
      </c>
      <c r="B26" s="15" t="s">
        <v>121</v>
      </c>
      <c r="C26" s="91"/>
      <c r="D26" s="92"/>
      <c r="E26" s="71"/>
      <c r="F26" s="92"/>
    </row>
    <row r="27" spans="1:6">
      <c r="A27" s="4">
        <f t="shared" si="0"/>
        <v>8</v>
      </c>
      <c r="B27" s="15" t="s">
        <v>122</v>
      </c>
      <c r="C27" s="91"/>
      <c r="D27" s="92"/>
      <c r="E27" s="71"/>
      <c r="F27" s="92"/>
    </row>
    <row r="28" spans="1:6">
      <c r="A28" s="4">
        <f t="shared" si="0"/>
        <v>9</v>
      </c>
      <c r="B28" s="15" t="s">
        <v>123</v>
      </c>
      <c r="C28" s="91"/>
      <c r="D28" s="92"/>
      <c r="E28" s="71"/>
      <c r="F28" s="92"/>
    </row>
    <row r="29" spans="1:6">
      <c r="A29" s="4">
        <f t="shared" si="0"/>
        <v>10</v>
      </c>
      <c r="B29" s="15" t="s">
        <v>124</v>
      </c>
      <c r="C29" s="91"/>
      <c r="D29" s="92"/>
      <c r="E29" s="71"/>
      <c r="F29" s="92"/>
    </row>
    <row r="30" spans="1:6">
      <c r="A30" s="4">
        <f t="shared" si="0"/>
        <v>11</v>
      </c>
      <c r="B30" s="15" t="s">
        <v>125</v>
      </c>
      <c r="C30" s="91"/>
      <c r="D30" s="92"/>
      <c r="E30" s="71"/>
      <c r="F30" s="92"/>
    </row>
    <row r="31" spans="1:6">
      <c r="A31" s="4">
        <f t="shared" si="0"/>
        <v>12</v>
      </c>
      <c r="B31" s="15" t="s">
        <v>126</v>
      </c>
      <c r="C31" s="91"/>
      <c r="D31" s="92"/>
      <c r="E31" s="71"/>
      <c r="F31" s="92"/>
    </row>
    <row r="32" spans="1:6">
      <c r="A32" s="4">
        <f t="shared" si="0"/>
        <v>13</v>
      </c>
      <c r="B32" s="15" t="s">
        <v>127</v>
      </c>
      <c r="C32" s="91"/>
      <c r="D32" s="92"/>
      <c r="E32" s="71"/>
      <c r="F32" s="92"/>
    </row>
    <row r="33" spans="1:6">
      <c r="A33" s="4">
        <f t="shared" si="0"/>
        <v>14</v>
      </c>
      <c r="B33" s="15" t="s">
        <v>128</v>
      </c>
      <c r="C33" s="91"/>
      <c r="D33" s="92"/>
      <c r="E33" s="71"/>
      <c r="F33" s="92"/>
    </row>
    <row r="34" spans="1:6">
      <c r="A34" s="4">
        <f t="shared" si="0"/>
        <v>15</v>
      </c>
      <c r="B34" s="15" t="s">
        <v>129</v>
      </c>
      <c r="C34" s="91"/>
      <c r="D34" s="92"/>
      <c r="E34" s="71"/>
      <c r="F34" s="92"/>
    </row>
    <row r="35" spans="1:6">
      <c r="A35" s="4">
        <f t="shared" si="0"/>
        <v>16</v>
      </c>
      <c r="B35" s="15" t="s">
        <v>130</v>
      </c>
      <c r="C35" s="91"/>
      <c r="D35" s="92"/>
      <c r="E35" s="71"/>
      <c r="F35" s="92"/>
    </row>
    <row r="36" spans="1:6">
      <c r="A36" s="4">
        <f t="shared" si="0"/>
        <v>17</v>
      </c>
      <c r="B36" s="15" t="s">
        <v>131</v>
      </c>
      <c r="C36" s="91"/>
      <c r="D36" s="92"/>
      <c r="E36" s="71"/>
      <c r="F36" s="92"/>
    </row>
    <row r="37" spans="1:6">
      <c r="A37" s="4">
        <f>+A36+1</f>
        <v>18</v>
      </c>
      <c r="B37" s="2" t="s">
        <v>159</v>
      </c>
      <c r="C37" s="91"/>
      <c r="D37" s="92"/>
      <c r="E37" s="71"/>
      <c r="F37" s="92"/>
    </row>
    <row r="38" spans="1:6">
      <c r="A38" s="19" t="s">
        <v>21</v>
      </c>
      <c r="B38" s="15" t="s">
        <v>22</v>
      </c>
      <c r="C38" s="91"/>
      <c r="D38" s="92"/>
      <c r="E38" s="71"/>
      <c r="F38" s="92"/>
    </row>
    <row r="39" spans="1:6">
      <c r="A39" s="19" t="s">
        <v>23</v>
      </c>
      <c r="B39" s="15" t="s">
        <v>22</v>
      </c>
      <c r="C39" s="91"/>
      <c r="D39" s="92"/>
      <c r="E39" s="71"/>
      <c r="F39" s="92"/>
    </row>
    <row r="40" spans="1:6">
      <c r="A40" s="19" t="s">
        <v>24</v>
      </c>
      <c r="B40" s="15" t="s">
        <v>22</v>
      </c>
      <c r="C40" s="91"/>
      <c r="D40" s="92"/>
      <c r="E40" s="71"/>
      <c r="F40" s="92"/>
    </row>
    <row r="41" spans="1:6">
      <c r="A41" s="4"/>
      <c r="B41" s="1" t="s">
        <v>160</v>
      </c>
      <c r="C41" s="94">
        <f>+SUM(C18:C40)+C15</f>
        <v>0</v>
      </c>
      <c r="D41" s="95">
        <f>+SUM(D18:D40)+D15</f>
        <v>0</v>
      </c>
      <c r="E41" s="96">
        <f>+SUM(E18:E40)+E15</f>
        <v>0</v>
      </c>
      <c r="F41" s="95">
        <f>+SUM(F18:F40)+F15</f>
        <v>0</v>
      </c>
    </row>
    <row r="42" spans="1:6">
      <c r="A42" s="4"/>
      <c r="B42" s="1"/>
      <c r="C42" s="91"/>
      <c r="D42" s="92"/>
      <c r="E42" s="93"/>
      <c r="F42" s="92"/>
    </row>
    <row r="43" spans="1:6">
      <c r="A43" s="18" t="s">
        <v>26</v>
      </c>
      <c r="B43" s="1" t="s">
        <v>161</v>
      </c>
      <c r="C43" s="91"/>
      <c r="D43" s="92"/>
      <c r="E43" s="93"/>
      <c r="F43" s="92"/>
    </row>
    <row r="44" spans="1:6">
      <c r="A44" s="4">
        <f>+A37+1</f>
        <v>19</v>
      </c>
      <c r="B44" s="2" t="s">
        <v>162</v>
      </c>
      <c r="C44" s="91"/>
      <c r="D44" s="92"/>
      <c r="E44" s="93"/>
      <c r="F44" s="92"/>
    </row>
    <row r="45" spans="1:6">
      <c r="A45" s="4">
        <f>+A44+1</f>
        <v>20</v>
      </c>
      <c r="B45" s="2" t="s">
        <v>163</v>
      </c>
      <c r="C45" s="91"/>
      <c r="D45" s="92"/>
      <c r="E45" s="93"/>
      <c r="F45" s="92"/>
    </row>
    <row r="46" spans="1:6">
      <c r="A46" s="4">
        <f>+A45+1</f>
        <v>21</v>
      </c>
      <c r="B46" s="2" t="s">
        <v>164</v>
      </c>
      <c r="C46" s="91"/>
      <c r="D46" s="92"/>
      <c r="E46" s="93"/>
      <c r="F46" s="92"/>
    </row>
    <row r="47" spans="1:6">
      <c r="A47" s="4">
        <f t="shared" ref="A47:A52" si="1">+A46+1</f>
        <v>22</v>
      </c>
      <c r="B47" s="2" t="s">
        <v>165</v>
      </c>
      <c r="C47" s="91"/>
      <c r="D47" s="92"/>
      <c r="E47" s="93"/>
      <c r="F47" s="92"/>
    </row>
    <row r="48" spans="1:6">
      <c r="A48" s="4">
        <f t="shared" si="1"/>
        <v>23</v>
      </c>
      <c r="B48" s="2" t="s">
        <v>166</v>
      </c>
      <c r="C48" s="91"/>
      <c r="D48" s="92"/>
      <c r="E48" s="93"/>
      <c r="F48" s="92"/>
    </row>
    <row r="49" spans="1:6">
      <c r="A49" s="4">
        <f t="shared" si="1"/>
        <v>24</v>
      </c>
      <c r="B49" s="2" t="s">
        <v>167</v>
      </c>
      <c r="C49" s="91"/>
      <c r="D49" s="92"/>
      <c r="E49" s="93"/>
      <c r="F49" s="92"/>
    </row>
    <row r="50" spans="1:6">
      <c r="A50" s="4">
        <f t="shared" si="1"/>
        <v>25</v>
      </c>
      <c r="B50" s="2" t="s">
        <v>168</v>
      </c>
      <c r="C50" s="91"/>
      <c r="D50" s="92"/>
      <c r="E50" s="93"/>
      <c r="F50" s="92"/>
    </row>
    <row r="51" spans="1:6">
      <c r="A51" s="4">
        <f t="shared" si="1"/>
        <v>26</v>
      </c>
      <c r="B51" s="2" t="s">
        <v>169</v>
      </c>
      <c r="C51" s="91"/>
      <c r="D51" s="92"/>
      <c r="E51" s="93"/>
      <c r="F51" s="92"/>
    </row>
    <row r="52" spans="1:6">
      <c r="A52" s="4">
        <f t="shared" si="1"/>
        <v>27</v>
      </c>
      <c r="B52" s="2" t="s">
        <v>170</v>
      </c>
      <c r="C52" s="91"/>
      <c r="D52" s="92"/>
      <c r="E52" s="93"/>
      <c r="F52" s="92"/>
    </row>
    <row r="53" spans="1:6">
      <c r="A53" s="19" t="s">
        <v>21</v>
      </c>
      <c r="B53" s="15" t="s">
        <v>22</v>
      </c>
      <c r="C53" s="91"/>
      <c r="D53" s="92"/>
      <c r="E53" s="93"/>
      <c r="F53" s="92"/>
    </row>
    <row r="54" spans="1:6">
      <c r="A54" s="19" t="s">
        <v>23</v>
      </c>
      <c r="B54" s="15" t="s">
        <v>22</v>
      </c>
      <c r="C54" s="91"/>
      <c r="D54" s="92"/>
      <c r="E54" s="93"/>
      <c r="F54" s="92"/>
    </row>
    <row r="55" spans="1:6">
      <c r="A55" s="19" t="s">
        <v>24</v>
      </c>
      <c r="B55" s="15" t="s">
        <v>22</v>
      </c>
      <c r="C55" s="91"/>
      <c r="D55" s="92"/>
      <c r="E55" s="93"/>
      <c r="F55" s="92"/>
    </row>
    <row r="56" spans="1:6">
      <c r="A56" s="4"/>
      <c r="B56" s="1" t="s">
        <v>171</v>
      </c>
      <c r="C56" s="94">
        <f>+SUM(C44:C55)</f>
        <v>0</v>
      </c>
      <c r="D56" s="95">
        <f>+SUM(D44:D55)</f>
        <v>0</v>
      </c>
      <c r="E56" s="96">
        <f>+SUM(E44:E55)</f>
        <v>0</v>
      </c>
      <c r="F56" s="95">
        <f>+SUM(F44:F55)</f>
        <v>0</v>
      </c>
    </row>
    <row r="57" spans="1:6">
      <c r="A57" s="4"/>
      <c r="B57" s="1"/>
      <c r="C57" s="91"/>
      <c r="D57" s="92"/>
      <c r="E57" s="93"/>
      <c r="F57" s="92"/>
    </row>
    <row r="58" spans="1:6">
      <c r="A58" s="4"/>
      <c r="B58" s="1"/>
      <c r="C58" s="91"/>
      <c r="D58" s="92"/>
      <c r="E58" s="93"/>
      <c r="F58" s="92"/>
    </row>
    <row r="59" spans="1:6">
      <c r="A59" s="4"/>
      <c r="B59" s="1" t="s">
        <v>172</v>
      </c>
      <c r="C59" s="94">
        <f>+C41+C56</f>
        <v>0</v>
      </c>
      <c r="D59" s="95">
        <f>+D41+D56</f>
        <v>0</v>
      </c>
      <c r="E59" s="96">
        <f>+E41+E56</f>
        <v>0</v>
      </c>
      <c r="F59" s="95">
        <f>+F41+F56</f>
        <v>0</v>
      </c>
    </row>
    <row r="60" spans="1:6">
      <c r="A60" s="4"/>
      <c r="B60" s="1" t="s">
        <v>173</v>
      </c>
      <c r="C60" s="91"/>
      <c r="D60" s="92"/>
      <c r="E60" s="93"/>
      <c r="F60" s="92"/>
    </row>
    <row r="61" spans="1:6">
      <c r="A61" s="4"/>
      <c r="B61" s="1" t="s">
        <v>174</v>
      </c>
      <c r="C61" s="94">
        <f t="shared" ref="C61:F61" si="2">+C59+C60</f>
        <v>0</v>
      </c>
      <c r="D61" s="95">
        <f t="shared" si="2"/>
        <v>0</v>
      </c>
      <c r="E61" s="96">
        <f t="shared" si="2"/>
        <v>0</v>
      </c>
      <c r="F61" s="95">
        <f t="shared" si="2"/>
        <v>0</v>
      </c>
    </row>
    <row r="62" spans="1:6" ht="15.6" thickBot="1">
      <c r="A62" s="20"/>
      <c r="B62" s="21"/>
      <c r="C62" s="20"/>
      <c r="D62" s="11"/>
      <c r="E62" s="10"/>
      <c r="F62" s="11"/>
    </row>
    <row r="63" spans="1:6">
      <c r="B63" s="1"/>
    </row>
    <row r="64" spans="1:6">
      <c r="B64" s="2" t="s">
        <v>74</v>
      </c>
      <c r="D64" s="2" t="s">
        <v>75</v>
      </c>
    </row>
    <row r="65" spans="2:4">
      <c r="B65" s="2" t="s">
        <v>76</v>
      </c>
      <c r="D65" s="2" t="s">
        <v>75</v>
      </c>
    </row>
    <row r="66" spans="2:4">
      <c r="B66" s="2" t="s">
        <v>77</v>
      </c>
      <c r="D66" s="2" t="s">
        <v>75</v>
      </c>
    </row>
  </sheetData>
  <sheetProtection algorithmName="SHA-512" hashValue="wujSvOviajsdwjD6UD2hpvlDKDWuH0TzIOg2ot1DvIW4fd4MZx/sETrryBDuJCek11+O+TQTfYKWdYyiLYKsIg==" saltValue="8Ggg7AgMYkCY3JQBnGXeQQ==" spinCount="100000" sheet="1" objects="1" scenarios="1"/>
  <protectedRanges>
    <protectedRange sqref="C60:F60" name="Range8"/>
    <protectedRange sqref="B38:B40" name="Range6"/>
    <protectedRange sqref="B1" name="Range4"/>
    <protectedRange sqref="C10:F14" name="Range1"/>
    <protectedRange sqref="C18:F40" name="Range2"/>
    <protectedRange sqref="C44:F55" name="Range3"/>
    <protectedRange sqref="B22:B24" name="Range5"/>
    <protectedRange sqref="B53:B55" name="Range7"/>
  </protectedRanges>
  <mergeCells count="2">
    <mergeCell ref="C7:D7"/>
    <mergeCell ref="E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3EE-F993-4B19-BBE5-5A4AC1032C0D}">
  <dimension ref="A1:E53"/>
  <sheetViews>
    <sheetView zoomScale="82" zoomScaleNormal="82" workbookViewId="0">
      <selection activeCell="I13" sqref="I13"/>
    </sheetView>
  </sheetViews>
  <sheetFormatPr defaultColWidth="9.140625" defaultRowHeight="15"/>
  <cols>
    <col min="1" max="1" width="61.7109375" style="14" customWidth="1"/>
    <col min="2" max="5" width="14.85546875" style="130" customWidth="1"/>
    <col min="6" max="16384" width="9.140625" style="14"/>
  </cols>
  <sheetData>
    <row r="1" spans="1:5">
      <c r="A1" s="1" t="s">
        <v>9</v>
      </c>
    </row>
    <row r="2" spans="1:5">
      <c r="A2" s="1"/>
    </row>
    <row r="3" spans="1:5" ht="15.6" thickBot="1">
      <c r="A3" s="1" t="s">
        <v>175</v>
      </c>
    </row>
    <row r="4" spans="1:5" ht="15.6" thickBot="1">
      <c r="A4" s="81"/>
      <c r="B4" s="149" t="s">
        <v>176</v>
      </c>
      <c r="C4" s="150"/>
      <c r="D4" s="149" t="s">
        <v>177</v>
      </c>
      <c r="E4" s="150"/>
    </row>
    <row r="5" spans="1:5">
      <c r="A5" s="26"/>
      <c r="B5" s="131">
        <v>2021</v>
      </c>
      <c r="C5" s="132">
        <v>2020</v>
      </c>
      <c r="D5" s="131">
        <v>2021</v>
      </c>
      <c r="E5" s="132">
        <v>2020</v>
      </c>
    </row>
    <row r="6" spans="1:5">
      <c r="A6" s="26" t="s">
        <v>178</v>
      </c>
      <c r="B6" s="133"/>
      <c r="C6" s="134"/>
      <c r="D6" s="133"/>
      <c r="E6" s="134"/>
    </row>
    <row r="7" spans="1:5" ht="9.75" customHeight="1">
      <c r="A7" s="26"/>
      <c r="B7" s="133"/>
      <c r="C7" s="134"/>
      <c r="D7" s="133"/>
      <c r="E7" s="134"/>
    </row>
    <row r="8" spans="1:5">
      <c r="A8" s="82" t="s">
        <v>179</v>
      </c>
      <c r="B8" s="133"/>
      <c r="C8" s="134"/>
      <c r="D8" s="133"/>
      <c r="E8" s="134"/>
    </row>
    <row r="9" spans="1:5" s="13" customFormat="1">
      <c r="A9" s="24" t="s">
        <v>180</v>
      </c>
      <c r="B9" s="135">
        <f>+B6+B8</f>
        <v>0</v>
      </c>
      <c r="C9" s="136">
        <f>+C6+C8</f>
        <v>0</v>
      </c>
      <c r="D9" s="135">
        <f>+D6+D8</f>
        <v>0</v>
      </c>
      <c r="E9" s="136">
        <f>+E6+E8</f>
        <v>0</v>
      </c>
    </row>
    <row r="10" spans="1:5" s="13" customFormat="1">
      <c r="A10" s="24"/>
      <c r="B10" s="137"/>
      <c r="C10" s="138"/>
      <c r="D10" s="137"/>
      <c r="E10" s="138"/>
    </row>
    <row r="11" spans="1:5">
      <c r="A11" s="85"/>
      <c r="B11" s="139"/>
      <c r="C11" s="140"/>
      <c r="D11" s="139"/>
      <c r="E11" s="140"/>
    </row>
    <row r="12" spans="1:5">
      <c r="A12" s="24" t="s">
        <v>181</v>
      </c>
      <c r="B12" s="131">
        <v>2021</v>
      </c>
      <c r="C12" s="132">
        <v>2020</v>
      </c>
      <c r="D12" s="131">
        <v>2021</v>
      </c>
      <c r="E12" s="132">
        <v>2020</v>
      </c>
    </row>
    <row r="13" spans="1:5">
      <c r="A13" s="82" t="s">
        <v>182</v>
      </c>
      <c r="B13" s="133"/>
      <c r="C13" s="134"/>
      <c r="D13" s="133"/>
      <c r="E13" s="134"/>
    </row>
    <row r="14" spans="1:5">
      <c r="A14" s="82" t="s">
        <v>183</v>
      </c>
      <c r="B14" s="133"/>
      <c r="C14" s="134"/>
      <c r="D14" s="133"/>
      <c r="E14" s="134"/>
    </row>
    <row r="15" spans="1:5">
      <c r="A15" s="82" t="s">
        <v>184</v>
      </c>
      <c r="B15" s="133"/>
      <c r="C15" s="134"/>
      <c r="D15" s="133"/>
      <c r="E15" s="134"/>
    </row>
    <row r="16" spans="1:5">
      <c r="A16" s="82" t="s">
        <v>185</v>
      </c>
      <c r="B16" s="133"/>
      <c r="C16" s="134"/>
      <c r="D16" s="133"/>
      <c r="E16" s="134"/>
    </row>
    <row r="17" spans="1:5">
      <c r="A17" s="82" t="s">
        <v>186</v>
      </c>
      <c r="B17" s="133"/>
      <c r="C17" s="134"/>
      <c r="D17" s="133"/>
      <c r="E17" s="134"/>
    </row>
    <row r="18" spans="1:5">
      <c r="A18" s="82" t="s">
        <v>187</v>
      </c>
      <c r="B18" s="133"/>
      <c r="C18" s="134"/>
      <c r="D18" s="133"/>
      <c r="E18" s="134"/>
    </row>
    <row r="19" spans="1:5" ht="17.45">
      <c r="A19" s="82" t="s">
        <v>188</v>
      </c>
      <c r="B19" s="133"/>
      <c r="C19" s="134"/>
      <c r="D19" s="133"/>
      <c r="E19" s="134"/>
    </row>
    <row r="20" spans="1:5">
      <c r="A20" s="24" t="s">
        <v>189</v>
      </c>
      <c r="B20" s="135">
        <f>+SUM(B13:B19)</f>
        <v>0</v>
      </c>
      <c r="C20" s="136">
        <f>+SUM(C13:C19)</f>
        <v>0</v>
      </c>
      <c r="D20" s="135">
        <f>+SUM(D13:D19)</f>
        <v>0</v>
      </c>
      <c r="E20" s="136">
        <f>+SUM(E13:E19)</f>
        <v>0</v>
      </c>
    </row>
    <row r="21" spans="1:5">
      <c r="A21" s="26"/>
      <c r="B21" s="141"/>
      <c r="C21" s="142"/>
      <c r="D21" s="141"/>
      <c r="E21" s="142"/>
    </row>
    <row r="22" spans="1:5">
      <c r="A22" s="24" t="s">
        <v>190</v>
      </c>
      <c r="B22" s="141"/>
      <c r="C22" s="142"/>
      <c r="D22" s="141"/>
      <c r="E22" s="142"/>
    </row>
    <row r="23" spans="1:5">
      <c r="A23" s="82" t="s">
        <v>191</v>
      </c>
      <c r="B23" s="141"/>
      <c r="C23" s="142"/>
      <c r="D23" s="141"/>
      <c r="E23" s="142"/>
    </row>
    <row r="24" spans="1:5">
      <c r="A24" s="88" t="s">
        <v>192</v>
      </c>
      <c r="B24" s="141"/>
      <c r="C24" s="142"/>
      <c r="D24" s="141"/>
      <c r="E24" s="142"/>
    </row>
    <row r="25" spans="1:5">
      <c r="A25" s="88" t="s">
        <v>193</v>
      </c>
      <c r="B25" s="141"/>
      <c r="C25" s="142"/>
      <c r="D25" s="141"/>
      <c r="E25" s="142"/>
    </row>
    <row r="26" spans="1:5">
      <c r="A26" s="88" t="s">
        <v>194</v>
      </c>
      <c r="B26" s="141"/>
      <c r="C26" s="142"/>
      <c r="D26" s="141"/>
      <c r="E26" s="142"/>
    </row>
    <row r="27" spans="1:5">
      <c r="A27" s="89" t="s">
        <v>195</v>
      </c>
      <c r="B27" s="141"/>
      <c r="C27" s="142"/>
      <c r="D27" s="141"/>
      <c r="E27" s="142"/>
    </row>
    <row r="28" spans="1:5">
      <c r="A28" s="88" t="s">
        <v>192</v>
      </c>
      <c r="B28" s="141"/>
      <c r="C28" s="142"/>
      <c r="D28" s="141"/>
      <c r="E28" s="142"/>
    </row>
    <row r="29" spans="1:5">
      <c r="A29" s="88" t="s">
        <v>193</v>
      </c>
      <c r="B29" s="141"/>
      <c r="C29" s="142"/>
      <c r="D29" s="141"/>
      <c r="E29" s="142"/>
    </row>
    <row r="30" spans="1:5">
      <c r="A30" s="88" t="s">
        <v>194</v>
      </c>
      <c r="B30" s="141"/>
      <c r="C30" s="142"/>
      <c r="D30" s="141"/>
      <c r="E30" s="142"/>
    </row>
    <row r="31" spans="1:5">
      <c r="A31" s="24" t="s">
        <v>196</v>
      </c>
      <c r="B31" s="135">
        <f>+SUM(B24:B30)</f>
        <v>0</v>
      </c>
      <c r="C31" s="136">
        <f>+SUM(C24:C30)</f>
        <v>0</v>
      </c>
      <c r="D31" s="135">
        <f>+SUM(D24:D30)</f>
        <v>0</v>
      </c>
      <c r="E31" s="136">
        <f>+SUM(E24:E30)</f>
        <v>0</v>
      </c>
    </row>
    <row r="32" spans="1:5">
      <c r="A32" s="24"/>
      <c r="B32" s="141"/>
      <c r="C32" s="142"/>
      <c r="D32" s="141"/>
      <c r="E32" s="142"/>
    </row>
    <row r="33" spans="1:5" ht="17.45">
      <c r="A33" s="24" t="s">
        <v>197</v>
      </c>
      <c r="B33" s="141"/>
      <c r="C33" s="142"/>
      <c r="D33" s="141"/>
      <c r="E33" s="142"/>
    </row>
    <row r="34" spans="1:5" ht="17.45">
      <c r="A34" s="82" t="s">
        <v>198</v>
      </c>
      <c r="B34" s="141"/>
      <c r="C34" s="142"/>
      <c r="D34" s="141"/>
      <c r="E34" s="142"/>
    </row>
    <row r="35" spans="1:5">
      <c r="A35" s="82" t="s">
        <v>199</v>
      </c>
      <c r="B35" s="141"/>
      <c r="C35" s="142"/>
      <c r="D35" s="141"/>
      <c r="E35" s="142"/>
    </row>
    <row r="36" spans="1:5">
      <c r="A36" s="82" t="s">
        <v>200</v>
      </c>
      <c r="B36" s="141"/>
      <c r="C36" s="142"/>
      <c r="D36" s="141"/>
      <c r="E36" s="142"/>
    </row>
    <row r="37" spans="1:5">
      <c r="A37" s="82" t="s">
        <v>201</v>
      </c>
      <c r="B37" s="141"/>
      <c r="C37" s="142"/>
      <c r="D37" s="141"/>
      <c r="E37" s="142"/>
    </row>
    <row r="38" spans="1:5" ht="15.6" thickBot="1">
      <c r="A38" s="90"/>
      <c r="B38" s="143">
        <f>+SUM(B34:B37)</f>
        <v>0</v>
      </c>
      <c r="C38" s="144">
        <f>+SUM(C34:C37)</f>
        <v>0</v>
      </c>
      <c r="D38" s="143">
        <f>+SUM(D34:D37)</f>
        <v>0</v>
      </c>
      <c r="E38" s="144">
        <f>+SUM(E34:E37)</f>
        <v>0</v>
      </c>
    </row>
    <row r="40" spans="1:5">
      <c r="A40" s="13" t="s">
        <v>202</v>
      </c>
    </row>
    <row r="41" spans="1:5">
      <c r="A41" s="41" t="s">
        <v>203</v>
      </c>
    </row>
    <row r="42" spans="1:5">
      <c r="A42" s="41" t="s">
        <v>204</v>
      </c>
    </row>
    <row r="43" spans="1:5">
      <c r="A43" s="41" t="s">
        <v>205</v>
      </c>
    </row>
    <row r="44" spans="1:5" ht="60">
      <c r="A44" s="42" t="s">
        <v>206</v>
      </c>
      <c r="B44" s="145"/>
    </row>
    <row r="45" spans="1:5" ht="17.45">
      <c r="A45" s="42" t="s">
        <v>207</v>
      </c>
      <c r="B45" s="145"/>
    </row>
    <row r="46" spans="1:5" ht="17.45">
      <c r="A46" s="41" t="s">
        <v>208</v>
      </c>
    </row>
    <row r="47" spans="1:5" ht="17.45">
      <c r="A47" s="42" t="s">
        <v>209</v>
      </c>
    </row>
    <row r="48" spans="1:5">
      <c r="A48" s="41"/>
    </row>
    <row r="51" spans="1:3">
      <c r="A51" s="2" t="s">
        <v>74</v>
      </c>
      <c r="B51" s="145"/>
      <c r="C51" s="145" t="s">
        <v>75</v>
      </c>
    </row>
    <row r="52" spans="1:3">
      <c r="A52" s="2" t="s">
        <v>76</v>
      </c>
      <c r="B52" s="145"/>
      <c r="C52" s="145" t="s">
        <v>75</v>
      </c>
    </row>
    <row r="53" spans="1:3">
      <c r="A53" s="2" t="s">
        <v>77</v>
      </c>
      <c r="B53" s="145"/>
      <c r="C53" s="145" t="s">
        <v>75</v>
      </c>
    </row>
  </sheetData>
  <sheetProtection algorithmName="SHA-512" hashValue="VM8q86sl8HgROeOYt89nFab6iLLC/rMWxhLUQ0VUBfWhVzxNpb1BkUFnZilkYgU2jNEMhbrwG2hAICW+X/1EBw==" saltValue="mQI/VOj/8qMc7tsUMKH50A==" spinCount="100000" sheet="1" objects="1" scenarios="1"/>
  <protectedRanges>
    <protectedRange sqref="B34:E37" name="Range4"/>
    <protectedRange sqref="B23:E30" name="Range3"/>
    <protectedRange sqref="B13:E19" name="Range2"/>
    <protectedRange sqref="B6:E8" name="Range1"/>
  </protectedRanges>
  <mergeCells count="2">
    <mergeCell ref="B4:C4"/>
    <mergeCell ref="D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2164-C4B3-4B01-A4E4-5A6449365243}">
  <dimension ref="A1:D10"/>
  <sheetViews>
    <sheetView workbookViewId="0">
      <selection activeCell="D18" sqref="D18"/>
    </sheetView>
  </sheetViews>
  <sheetFormatPr defaultRowHeight="13.15"/>
  <cols>
    <col min="2" max="2" width="36.28515625" bestFit="1" customWidth="1"/>
    <col min="3" max="4" width="35.42578125" customWidth="1"/>
  </cols>
  <sheetData>
    <row r="1" spans="1:4" ht="15">
      <c r="A1" s="13" t="s">
        <v>210</v>
      </c>
      <c r="B1" s="14"/>
    </row>
    <row r="2" spans="1:4" ht="15">
      <c r="A2" s="13" t="s">
        <v>211</v>
      </c>
    </row>
    <row r="4" spans="1:4" ht="13.9" thickBot="1"/>
    <row r="5" spans="1:4" ht="15.6" thickBot="1">
      <c r="B5" s="45"/>
      <c r="C5" s="56" t="s">
        <v>212</v>
      </c>
      <c r="D5" s="57" t="s">
        <v>213</v>
      </c>
    </row>
    <row r="6" spans="1:4" ht="15">
      <c r="B6" s="47" t="s">
        <v>214</v>
      </c>
      <c r="C6" s="44">
        <v>0</v>
      </c>
      <c r="D6" s="48">
        <v>0</v>
      </c>
    </row>
    <row r="7" spans="1:4" ht="15">
      <c r="B7" s="49" t="s">
        <v>215</v>
      </c>
      <c r="C7" s="50">
        <v>0</v>
      </c>
      <c r="D7" s="51">
        <v>0</v>
      </c>
    </row>
    <row r="8" spans="1:4" ht="15">
      <c r="B8" s="49" t="s">
        <v>216</v>
      </c>
      <c r="C8" s="50">
        <v>0</v>
      </c>
      <c r="D8" s="51">
        <v>0</v>
      </c>
    </row>
    <row r="9" spans="1:4" ht="15.6" thickBot="1">
      <c r="B9" s="52" t="s">
        <v>217</v>
      </c>
      <c r="C9" s="53">
        <v>0</v>
      </c>
      <c r="D9" s="54">
        <v>0</v>
      </c>
    </row>
    <row r="10" spans="1:4" ht="15.6" thickBot="1">
      <c r="B10" s="46" t="s">
        <v>218</v>
      </c>
      <c r="C10" s="55">
        <f>+SUM(C6:C9)</f>
        <v>0</v>
      </c>
      <c r="D10" s="55">
        <f>+SUM(D6:D9)</f>
        <v>0</v>
      </c>
    </row>
  </sheetData>
  <sheetProtection algorithmName="SHA-512" hashValue="peTH2wBc305v7JeRDiA1n5Nk4fTx41g7UZajjyAeFRWbd9VKugkjiAndGhHWtPNnplu5e23m9ALS/xhLoLXmcQ==" saltValue="K23JJwBrBjBTNfle+Iy1RQ==" spinCount="100000" sheet="1" objects="1" scenarios="1"/>
  <protectedRanges>
    <protectedRange sqref="C6:D9" name="Range1"/>
    <protectedRange sqref="A1:A2" name="Range2"/>
  </protectedRange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6C4A-7657-431C-8C75-BF341F96761F}">
  <dimension ref="A1:K18"/>
  <sheetViews>
    <sheetView workbookViewId="0">
      <selection activeCell="D10" sqref="D10"/>
    </sheetView>
  </sheetViews>
  <sheetFormatPr defaultRowHeight="13.15"/>
  <cols>
    <col min="2" max="2" width="19" customWidth="1"/>
    <col min="3" max="3" width="18.28515625" bestFit="1" customWidth="1"/>
    <col min="4" max="4" width="28.7109375" customWidth="1"/>
  </cols>
  <sheetData>
    <row r="1" spans="1:11" ht="15">
      <c r="A1" s="13" t="s">
        <v>210</v>
      </c>
    </row>
    <row r="2" spans="1:11" ht="15">
      <c r="A2" s="13" t="s">
        <v>219</v>
      </c>
    </row>
    <row r="5" spans="1:11"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7" spans="1:11" ht="15">
      <c r="B7" s="151" t="s">
        <v>220</v>
      </c>
      <c r="C7" s="58" t="s">
        <v>221</v>
      </c>
      <c r="D7" s="58"/>
      <c r="F7" s="43"/>
      <c r="G7" s="43"/>
      <c r="J7" s="43"/>
      <c r="K7" s="43"/>
    </row>
    <row r="8" spans="1:11" ht="15">
      <c r="B8" s="151"/>
      <c r="C8" s="58" t="s">
        <v>222</v>
      </c>
      <c r="D8" s="58"/>
    </row>
    <row r="9" spans="1:11" ht="15">
      <c r="B9" s="151" t="s">
        <v>223</v>
      </c>
      <c r="C9" s="58" t="s">
        <v>221</v>
      </c>
      <c r="D9" s="58"/>
    </row>
    <row r="10" spans="1:11" ht="15">
      <c r="B10" s="151"/>
      <c r="C10" s="58" t="s">
        <v>222</v>
      </c>
      <c r="D10" s="58"/>
    </row>
    <row r="11" spans="1:11" ht="15">
      <c r="B11" s="151" t="s">
        <v>224</v>
      </c>
      <c r="C11" s="58" t="s">
        <v>221</v>
      </c>
      <c r="D11" s="58"/>
    </row>
    <row r="12" spans="1:11" ht="15">
      <c r="B12" s="151"/>
      <c r="C12" s="58" t="s">
        <v>222</v>
      </c>
      <c r="D12" s="58"/>
    </row>
    <row r="13" spans="1:11" ht="15">
      <c r="B13" s="151" t="s">
        <v>225</v>
      </c>
      <c r="C13" s="58" t="s">
        <v>221</v>
      </c>
      <c r="D13" s="58"/>
    </row>
    <row r="14" spans="1:11" ht="15">
      <c r="B14" s="151"/>
      <c r="C14" s="58" t="s">
        <v>222</v>
      </c>
      <c r="D14" s="58"/>
    </row>
    <row r="15" spans="1:11" ht="15">
      <c r="B15" s="151" t="s">
        <v>226</v>
      </c>
      <c r="C15" s="58" t="s">
        <v>221</v>
      </c>
      <c r="D15" s="58"/>
    </row>
    <row r="16" spans="1:11" ht="15">
      <c r="B16" s="151"/>
      <c r="C16" s="58" t="s">
        <v>222</v>
      </c>
      <c r="D16" s="58"/>
    </row>
    <row r="17" spans="2:4" ht="15">
      <c r="B17" s="151" t="s">
        <v>227</v>
      </c>
      <c r="C17" s="58" t="s">
        <v>221</v>
      </c>
      <c r="D17" s="58">
        <f>+D7+D9+D11+D13+D15</f>
        <v>0</v>
      </c>
    </row>
    <row r="18" spans="2:4" ht="15">
      <c r="B18" s="151"/>
      <c r="C18" s="58" t="s">
        <v>222</v>
      </c>
      <c r="D18" s="58">
        <f>+D8+D10+D12+D14+D16</f>
        <v>0</v>
      </c>
    </row>
  </sheetData>
  <sheetProtection algorithmName="SHA-512" hashValue="QVjMoGZeX7eRScCzmODy1pIr5HvZM4bR+E7BJXHFsmkjOTFqWabvurd9xo/EyqWJAgii9LaYfiFt2QJbnQhlEg==" saltValue="XKy/KsVHwSQgFw3B/ioKVg==" spinCount="100000" sheet="1" objects="1" scenarios="1"/>
  <protectedRanges>
    <protectedRange sqref="A1:A2" name="Range2"/>
    <protectedRange sqref="D7:D16" name="Range1"/>
  </protectedRanges>
  <mergeCells count="11">
    <mergeCell ref="B5:C5"/>
    <mergeCell ref="D5:E5"/>
    <mergeCell ref="F5:G5"/>
    <mergeCell ref="H5:I5"/>
    <mergeCell ref="J5:K5"/>
    <mergeCell ref="B11:B12"/>
    <mergeCell ref="B13:B14"/>
    <mergeCell ref="B15:B16"/>
    <mergeCell ref="B17:B18"/>
    <mergeCell ref="B7:B8"/>
    <mergeCell ref="B9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A5F0-5142-42AC-90C1-1B1B0F11EC03}">
  <dimension ref="A1:I31"/>
  <sheetViews>
    <sheetView workbookViewId="0">
      <selection activeCell="G15" sqref="G15"/>
    </sheetView>
  </sheetViews>
  <sheetFormatPr defaultColWidth="8.85546875" defaultRowHeight="15"/>
  <cols>
    <col min="1" max="1" width="12.42578125" style="2" customWidth="1"/>
    <col min="2" max="2" width="11.140625" style="2" customWidth="1"/>
    <col min="3" max="3" width="11.7109375" style="2" customWidth="1"/>
    <col min="4" max="4" width="12.7109375" style="2" customWidth="1"/>
    <col min="5" max="5" width="11" style="2" customWidth="1"/>
    <col min="6" max="9" width="26.140625" style="2" customWidth="1"/>
    <col min="10" max="16384" width="8.85546875" style="2"/>
  </cols>
  <sheetData>
    <row r="1" spans="1:9">
      <c r="A1" s="1" t="s">
        <v>9</v>
      </c>
      <c r="B1" s="14"/>
    </row>
    <row r="2" spans="1:9">
      <c r="A2" s="1"/>
      <c r="B2" s="14"/>
    </row>
    <row r="3" spans="1:9">
      <c r="A3" s="1" t="s">
        <v>228</v>
      </c>
      <c r="B3" s="14"/>
    </row>
    <row r="7" spans="1:9" ht="15.6" thickBot="1"/>
    <row r="8" spans="1:9" s="63" customFormat="1" ht="30">
      <c r="A8" s="60" t="s">
        <v>229</v>
      </c>
      <c r="B8" s="61" t="s">
        <v>230</v>
      </c>
      <c r="C8" s="61" t="s">
        <v>231</v>
      </c>
      <c r="D8" s="61" t="s">
        <v>232</v>
      </c>
      <c r="E8" s="61" t="s">
        <v>233</v>
      </c>
      <c r="F8" s="61" t="s">
        <v>234</v>
      </c>
      <c r="G8" s="61" t="s">
        <v>235</v>
      </c>
      <c r="H8" s="61" t="s">
        <v>156</v>
      </c>
      <c r="I8" s="62" t="s">
        <v>236</v>
      </c>
    </row>
    <row r="9" spans="1:9">
      <c r="A9" s="64" t="s">
        <v>237</v>
      </c>
      <c r="B9" s="65"/>
      <c r="C9" s="65"/>
      <c r="D9" s="65"/>
      <c r="E9" s="65"/>
      <c r="F9" s="65"/>
      <c r="G9" s="65"/>
      <c r="H9" s="65"/>
      <c r="I9" s="66"/>
    </row>
    <row r="10" spans="1:9">
      <c r="A10" s="67"/>
      <c r="B10" s="65"/>
      <c r="C10" s="65"/>
      <c r="D10" s="65"/>
      <c r="E10" s="65"/>
      <c r="F10" s="65"/>
      <c r="G10" s="65"/>
      <c r="H10" s="65"/>
      <c r="I10" s="66"/>
    </row>
    <row r="11" spans="1:9">
      <c r="A11" s="67"/>
      <c r="B11" s="65"/>
      <c r="C11" s="65"/>
      <c r="D11" s="65"/>
      <c r="E11" s="65"/>
      <c r="F11" s="65"/>
      <c r="G11" s="65"/>
      <c r="H11" s="65"/>
      <c r="I11" s="66"/>
    </row>
    <row r="12" spans="1:9">
      <c r="A12" s="67"/>
      <c r="B12" s="65"/>
      <c r="C12" s="65"/>
      <c r="D12" s="65"/>
      <c r="E12" s="65"/>
      <c r="F12" s="65"/>
      <c r="G12" s="65"/>
      <c r="H12" s="65"/>
      <c r="I12" s="66"/>
    </row>
    <row r="13" spans="1:9">
      <c r="A13" s="67"/>
      <c r="B13" s="65"/>
      <c r="C13" s="65"/>
      <c r="D13" s="65"/>
      <c r="E13" s="65"/>
      <c r="F13" s="65"/>
      <c r="G13" s="65"/>
      <c r="H13" s="65"/>
      <c r="I13" s="66"/>
    </row>
    <row r="14" spans="1:9">
      <c r="A14" s="67"/>
      <c r="B14" s="65"/>
      <c r="C14" s="65"/>
      <c r="D14" s="65"/>
      <c r="E14" s="65"/>
      <c r="F14" s="65"/>
      <c r="G14" s="65"/>
      <c r="H14" s="65"/>
      <c r="I14" s="66"/>
    </row>
    <row r="15" spans="1:9">
      <c r="A15" s="67"/>
      <c r="B15" s="65"/>
      <c r="C15" s="65"/>
      <c r="D15" s="65"/>
      <c r="E15" s="65"/>
      <c r="F15" s="65"/>
      <c r="G15" s="65"/>
      <c r="H15" s="65"/>
      <c r="I15" s="66"/>
    </row>
    <row r="16" spans="1:9">
      <c r="A16" s="67"/>
      <c r="B16" s="65"/>
      <c r="C16" s="65"/>
      <c r="D16" s="65"/>
      <c r="E16" s="65"/>
      <c r="F16" s="65"/>
      <c r="G16" s="65"/>
      <c r="H16" s="65"/>
      <c r="I16" s="66"/>
    </row>
    <row r="17" spans="1:9">
      <c r="A17" s="67"/>
      <c r="B17" s="65"/>
      <c r="C17" s="65"/>
      <c r="D17" s="65"/>
      <c r="E17" s="65"/>
      <c r="F17" s="65"/>
      <c r="G17" s="65"/>
      <c r="H17" s="65"/>
      <c r="I17" s="66"/>
    </row>
    <row r="18" spans="1:9">
      <c r="A18" s="67"/>
      <c r="B18" s="65"/>
      <c r="C18" s="65"/>
      <c r="D18" s="65"/>
      <c r="E18" s="65"/>
      <c r="F18" s="65"/>
      <c r="G18" s="65"/>
      <c r="H18" s="65"/>
      <c r="I18" s="66"/>
    </row>
    <row r="19" spans="1:9">
      <c r="A19" s="67"/>
      <c r="B19" s="65" t="s">
        <v>180</v>
      </c>
      <c r="C19" s="65"/>
      <c r="D19" s="65"/>
      <c r="E19" s="65"/>
      <c r="F19" s="65">
        <f>+SUM(F10:F18)</f>
        <v>0</v>
      </c>
      <c r="G19" s="65">
        <f t="shared" ref="G19:I19" si="0">+SUM(G10:G18)</f>
        <v>0</v>
      </c>
      <c r="H19" s="65">
        <f t="shared" si="0"/>
        <v>0</v>
      </c>
      <c r="I19" s="66">
        <f t="shared" si="0"/>
        <v>0</v>
      </c>
    </row>
    <row r="20" spans="1:9">
      <c r="A20" s="67"/>
      <c r="B20" s="65"/>
      <c r="C20" s="65"/>
      <c r="D20" s="65"/>
      <c r="E20" s="65"/>
      <c r="F20" s="65"/>
      <c r="G20" s="65"/>
      <c r="H20" s="65"/>
      <c r="I20" s="66"/>
    </row>
    <row r="21" spans="1:9">
      <c r="A21" s="64" t="s">
        <v>238</v>
      </c>
      <c r="B21" s="65"/>
      <c r="C21" s="65"/>
      <c r="D21" s="65"/>
      <c r="E21" s="65"/>
      <c r="F21" s="65"/>
      <c r="G21" s="65"/>
      <c r="H21" s="65"/>
      <c r="I21" s="66"/>
    </row>
    <row r="22" spans="1:9">
      <c r="A22" s="67"/>
      <c r="B22" s="65"/>
      <c r="C22" s="65"/>
      <c r="D22" s="65"/>
      <c r="E22" s="65"/>
      <c r="F22" s="65"/>
      <c r="G22" s="65"/>
      <c r="H22" s="65"/>
      <c r="I22" s="66"/>
    </row>
    <row r="23" spans="1:9">
      <c r="A23" s="67"/>
      <c r="B23" s="65"/>
      <c r="C23" s="65"/>
      <c r="D23" s="65"/>
      <c r="E23" s="65"/>
      <c r="F23" s="65"/>
      <c r="G23" s="65"/>
      <c r="H23" s="65"/>
      <c r="I23" s="66"/>
    </row>
    <row r="24" spans="1:9">
      <c r="A24" s="67"/>
      <c r="B24" s="65"/>
      <c r="C24" s="65"/>
      <c r="D24" s="65"/>
      <c r="E24" s="65"/>
      <c r="F24" s="65"/>
      <c r="G24" s="65"/>
      <c r="H24" s="65"/>
      <c r="I24" s="66"/>
    </row>
    <row r="25" spans="1:9">
      <c r="A25" s="67"/>
      <c r="B25" s="65"/>
      <c r="C25" s="65"/>
      <c r="D25" s="65"/>
      <c r="E25" s="65"/>
      <c r="F25" s="65"/>
      <c r="G25" s="65"/>
      <c r="H25" s="65"/>
      <c r="I25" s="66"/>
    </row>
    <row r="26" spans="1:9">
      <c r="A26" s="67"/>
      <c r="B26" s="65"/>
      <c r="C26" s="65"/>
      <c r="D26" s="65"/>
      <c r="E26" s="65"/>
      <c r="F26" s="65"/>
      <c r="G26" s="65"/>
      <c r="H26" s="65"/>
      <c r="I26" s="66"/>
    </row>
    <row r="27" spans="1:9">
      <c r="A27" s="67"/>
      <c r="B27" s="65"/>
      <c r="C27" s="65"/>
      <c r="D27" s="65"/>
      <c r="E27" s="65"/>
      <c r="F27" s="65"/>
      <c r="G27" s="65"/>
      <c r="H27" s="65"/>
      <c r="I27" s="66"/>
    </row>
    <row r="28" spans="1:9">
      <c r="A28" s="67"/>
      <c r="B28" s="65"/>
      <c r="C28" s="65"/>
      <c r="D28" s="65"/>
      <c r="E28" s="65"/>
      <c r="F28" s="65"/>
      <c r="G28" s="65"/>
      <c r="H28" s="65"/>
      <c r="I28" s="66"/>
    </row>
    <row r="29" spans="1:9">
      <c r="A29" s="67"/>
      <c r="B29" s="65"/>
      <c r="C29" s="65"/>
      <c r="D29" s="65"/>
      <c r="E29" s="65"/>
      <c r="F29" s="65"/>
      <c r="G29" s="65"/>
      <c r="H29" s="65"/>
      <c r="I29" s="66"/>
    </row>
    <row r="30" spans="1:9">
      <c r="A30" s="67"/>
      <c r="B30" s="65"/>
      <c r="C30" s="65"/>
      <c r="D30" s="65"/>
      <c r="E30" s="65"/>
      <c r="F30" s="65"/>
      <c r="G30" s="65"/>
      <c r="H30" s="65"/>
      <c r="I30" s="66"/>
    </row>
    <row r="31" spans="1:9" ht="15.6" thickBot="1">
      <c r="A31" s="68"/>
      <c r="B31" s="69" t="s">
        <v>180</v>
      </c>
      <c r="C31" s="69"/>
      <c r="D31" s="69"/>
      <c r="E31" s="69"/>
      <c r="F31" s="69">
        <f>+SUM(F22:F30)</f>
        <v>0</v>
      </c>
      <c r="G31" s="69">
        <f t="shared" ref="G31:I31" si="1">+SUM(G22:G30)</f>
        <v>0</v>
      </c>
      <c r="H31" s="69">
        <f t="shared" si="1"/>
        <v>0</v>
      </c>
      <c r="I31" s="70">
        <f t="shared" si="1"/>
        <v>0</v>
      </c>
    </row>
  </sheetData>
  <sheetProtection algorithmName="SHA-512" hashValue="VGTTBbJyY7EgFEWXu6ZpfcikiIFoImR3d/BUsVYPfa6Rf5+iDit4vajB0YA51wbsVHDzgCPHlmmPjBMaLL1xFw==" saltValue="sAFVKJ7ehqSsWBO9FzugcQ==" spinCount="100000" sheet="1" objects="1" scenarios="1"/>
  <protectedRanges>
    <protectedRange sqref="A22:I30" name="Range2"/>
    <protectedRange sqref="A10:I18" name="Range1"/>
    <protectedRange sqref="A1:A3" name="Range3"/>
  </protectedRange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B29A-7D4E-4D43-B299-E7ECB60929D2}">
  <dimension ref="A1:G172"/>
  <sheetViews>
    <sheetView workbookViewId="0">
      <selection activeCell="E13" sqref="E13"/>
    </sheetView>
  </sheetViews>
  <sheetFormatPr defaultColWidth="8.85546875" defaultRowHeight="15"/>
  <cols>
    <col min="1" max="2" width="19.28515625" style="2" customWidth="1"/>
    <col min="3" max="6" width="29.7109375" style="2" customWidth="1"/>
    <col min="7" max="7" width="29.7109375" style="71" customWidth="1"/>
    <col min="8" max="16384" width="8.85546875" style="2"/>
  </cols>
  <sheetData>
    <row r="1" spans="1:7">
      <c r="A1" s="1" t="s">
        <v>9</v>
      </c>
      <c r="B1" s="1"/>
    </row>
    <row r="2" spans="1:7">
      <c r="A2" s="1"/>
      <c r="B2" s="1"/>
    </row>
    <row r="3" spans="1:7">
      <c r="A3" s="1" t="s">
        <v>239</v>
      </c>
      <c r="B3" s="1"/>
    </row>
    <row r="5" spans="1:7" ht="15.6" thickBot="1"/>
    <row r="6" spans="1:7">
      <c r="A6" s="153" t="s">
        <v>240</v>
      </c>
      <c r="B6" s="155" t="s">
        <v>241</v>
      </c>
      <c r="C6" s="157" t="s">
        <v>213</v>
      </c>
      <c r="D6" s="157"/>
      <c r="E6" s="157"/>
      <c r="F6" s="157"/>
      <c r="G6" s="158"/>
    </row>
    <row r="7" spans="1:7" s="63" customFormat="1" ht="60.6" customHeight="1">
      <c r="A7" s="154"/>
      <c r="B7" s="156"/>
      <c r="C7" s="72" t="s">
        <v>242</v>
      </c>
      <c r="D7" s="72" t="s">
        <v>243</v>
      </c>
      <c r="E7" s="72" t="s">
        <v>216</v>
      </c>
      <c r="F7" s="72" t="s">
        <v>217</v>
      </c>
      <c r="G7" s="73" t="s">
        <v>227</v>
      </c>
    </row>
    <row r="8" spans="1:7">
      <c r="A8" s="74"/>
      <c r="B8" s="75"/>
      <c r="C8" s="58"/>
      <c r="D8" s="58"/>
      <c r="E8" s="58"/>
      <c r="F8" s="58"/>
      <c r="G8" s="66">
        <f>+SUM(C8:F8)</f>
        <v>0</v>
      </c>
    </row>
    <row r="9" spans="1:7">
      <c r="A9" s="74"/>
      <c r="B9" s="75"/>
      <c r="C9" s="58"/>
      <c r="D9" s="58"/>
      <c r="E9" s="58"/>
      <c r="F9" s="58"/>
      <c r="G9" s="66">
        <f t="shared" ref="G9:G72" si="0">+SUM(C9:F9)</f>
        <v>0</v>
      </c>
    </row>
    <row r="10" spans="1:7">
      <c r="A10" s="74"/>
      <c r="B10" s="75"/>
      <c r="C10" s="58"/>
      <c r="D10" s="58"/>
      <c r="E10" s="58"/>
      <c r="F10" s="58"/>
      <c r="G10" s="66">
        <f t="shared" si="0"/>
        <v>0</v>
      </c>
    </row>
    <row r="11" spans="1:7">
      <c r="A11" s="74"/>
      <c r="B11" s="75"/>
      <c r="C11" s="58"/>
      <c r="D11" s="58"/>
      <c r="E11" s="58"/>
      <c r="F11" s="58"/>
      <c r="G11" s="66">
        <f t="shared" si="0"/>
        <v>0</v>
      </c>
    </row>
    <row r="12" spans="1:7">
      <c r="A12" s="74"/>
      <c r="B12" s="75"/>
      <c r="C12" s="58"/>
      <c r="D12" s="58"/>
      <c r="E12" s="58"/>
      <c r="F12" s="58"/>
      <c r="G12" s="66">
        <f t="shared" si="0"/>
        <v>0</v>
      </c>
    </row>
    <row r="13" spans="1:7">
      <c r="A13" s="74"/>
      <c r="B13" s="75"/>
      <c r="C13" s="58"/>
      <c r="D13" s="58"/>
      <c r="E13" s="58"/>
      <c r="F13" s="58"/>
      <c r="G13" s="66">
        <f t="shared" si="0"/>
        <v>0</v>
      </c>
    </row>
    <row r="14" spans="1:7">
      <c r="A14" s="74"/>
      <c r="B14" s="75"/>
      <c r="C14" s="58"/>
      <c r="D14" s="58"/>
      <c r="E14" s="58"/>
      <c r="F14" s="58"/>
      <c r="G14" s="66">
        <f t="shared" si="0"/>
        <v>0</v>
      </c>
    </row>
    <row r="15" spans="1:7">
      <c r="A15" s="74"/>
      <c r="B15" s="75"/>
      <c r="C15" s="58"/>
      <c r="D15" s="58"/>
      <c r="E15" s="58"/>
      <c r="F15" s="58"/>
      <c r="G15" s="66">
        <f t="shared" si="0"/>
        <v>0</v>
      </c>
    </row>
    <row r="16" spans="1:7">
      <c r="A16" s="74"/>
      <c r="B16" s="75"/>
      <c r="C16" s="58"/>
      <c r="D16" s="58"/>
      <c r="E16" s="58"/>
      <c r="F16" s="58"/>
      <c r="G16" s="66">
        <f t="shared" si="0"/>
        <v>0</v>
      </c>
    </row>
    <row r="17" spans="1:7">
      <c r="A17" s="74"/>
      <c r="B17" s="75"/>
      <c r="C17" s="58"/>
      <c r="D17" s="58"/>
      <c r="E17" s="58"/>
      <c r="F17" s="58"/>
      <c r="G17" s="66">
        <f t="shared" si="0"/>
        <v>0</v>
      </c>
    </row>
    <row r="18" spans="1:7">
      <c r="A18" s="74"/>
      <c r="B18" s="75"/>
      <c r="C18" s="58"/>
      <c r="D18" s="58"/>
      <c r="E18" s="58"/>
      <c r="F18" s="58"/>
      <c r="G18" s="66">
        <f t="shared" si="0"/>
        <v>0</v>
      </c>
    </row>
    <row r="19" spans="1:7">
      <c r="A19" s="74"/>
      <c r="B19" s="75"/>
      <c r="C19" s="58"/>
      <c r="D19" s="58"/>
      <c r="E19" s="58"/>
      <c r="F19" s="58"/>
      <c r="G19" s="66">
        <f t="shared" si="0"/>
        <v>0</v>
      </c>
    </row>
    <row r="20" spans="1:7">
      <c r="A20" s="74"/>
      <c r="B20" s="75"/>
      <c r="C20" s="58"/>
      <c r="D20" s="58"/>
      <c r="E20" s="58"/>
      <c r="F20" s="58"/>
      <c r="G20" s="66">
        <f t="shared" si="0"/>
        <v>0</v>
      </c>
    </row>
    <row r="21" spans="1:7">
      <c r="A21" s="74"/>
      <c r="B21" s="75"/>
      <c r="C21" s="58"/>
      <c r="D21" s="58"/>
      <c r="E21" s="58"/>
      <c r="F21" s="58"/>
      <c r="G21" s="66">
        <f t="shared" si="0"/>
        <v>0</v>
      </c>
    </row>
    <row r="22" spans="1:7">
      <c r="A22" s="74"/>
      <c r="B22" s="75"/>
      <c r="C22" s="58"/>
      <c r="D22" s="58"/>
      <c r="E22" s="58"/>
      <c r="F22" s="58"/>
      <c r="G22" s="66">
        <f t="shared" si="0"/>
        <v>0</v>
      </c>
    </row>
    <row r="23" spans="1:7">
      <c r="A23" s="74"/>
      <c r="B23" s="75"/>
      <c r="C23" s="58"/>
      <c r="D23" s="58"/>
      <c r="E23" s="58"/>
      <c r="F23" s="58"/>
      <c r="G23" s="66">
        <f t="shared" si="0"/>
        <v>0</v>
      </c>
    </row>
    <row r="24" spans="1:7">
      <c r="A24" s="74"/>
      <c r="B24" s="75"/>
      <c r="C24" s="58"/>
      <c r="D24" s="58"/>
      <c r="E24" s="58"/>
      <c r="F24" s="58"/>
      <c r="G24" s="66">
        <f t="shared" si="0"/>
        <v>0</v>
      </c>
    </row>
    <row r="25" spans="1:7">
      <c r="A25" s="74"/>
      <c r="B25" s="75"/>
      <c r="C25" s="58"/>
      <c r="D25" s="58"/>
      <c r="E25" s="58"/>
      <c r="F25" s="58"/>
      <c r="G25" s="66">
        <f t="shared" si="0"/>
        <v>0</v>
      </c>
    </row>
    <row r="26" spans="1:7">
      <c r="A26" s="74"/>
      <c r="B26" s="75"/>
      <c r="C26" s="58"/>
      <c r="D26" s="58"/>
      <c r="E26" s="58"/>
      <c r="F26" s="58"/>
      <c r="G26" s="66">
        <f t="shared" si="0"/>
        <v>0</v>
      </c>
    </row>
    <row r="27" spans="1:7">
      <c r="A27" s="74"/>
      <c r="B27" s="75"/>
      <c r="C27" s="58"/>
      <c r="D27" s="58"/>
      <c r="E27" s="58"/>
      <c r="F27" s="58"/>
      <c r="G27" s="66">
        <f t="shared" si="0"/>
        <v>0</v>
      </c>
    </row>
    <row r="28" spans="1:7">
      <c r="A28" s="74"/>
      <c r="B28" s="75"/>
      <c r="C28" s="58"/>
      <c r="D28" s="58"/>
      <c r="E28" s="58"/>
      <c r="F28" s="58"/>
      <c r="G28" s="66">
        <f t="shared" si="0"/>
        <v>0</v>
      </c>
    </row>
    <row r="29" spans="1:7">
      <c r="A29" s="74"/>
      <c r="B29" s="75"/>
      <c r="C29" s="58"/>
      <c r="D29" s="58"/>
      <c r="E29" s="58"/>
      <c r="F29" s="58"/>
      <c r="G29" s="66">
        <f t="shared" si="0"/>
        <v>0</v>
      </c>
    </row>
    <row r="30" spans="1:7">
      <c r="A30" s="74"/>
      <c r="B30" s="75"/>
      <c r="C30" s="58"/>
      <c r="D30" s="58"/>
      <c r="E30" s="58"/>
      <c r="F30" s="58"/>
      <c r="G30" s="66">
        <f t="shared" si="0"/>
        <v>0</v>
      </c>
    </row>
    <row r="31" spans="1:7">
      <c r="A31" s="74"/>
      <c r="B31" s="75"/>
      <c r="C31" s="58"/>
      <c r="D31" s="58"/>
      <c r="E31" s="58"/>
      <c r="F31" s="58"/>
      <c r="G31" s="66">
        <f t="shared" si="0"/>
        <v>0</v>
      </c>
    </row>
    <row r="32" spans="1:7">
      <c r="A32" s="74"/>
      <c r="B32" s="75"/>
      <c r="C32" s="58"/>
      <c r="D32" s="58"/>
      <c r="E32" s="58"/>
      <c r="F32" s="58"/>
      <c r="G32" s="66">
        <f t="shared" si="0"/>
        <v>0</v>
      </c>
    </row>
    <row r="33" spans="1:7">
      <c r="A33" s="74"/>
      <c r="B33" s="75"/>
      <c r="C33" s="58"/>
      <c r="D33" s="58"/>
      <c r="E33" s="58"/>
      <c r="F33" s="58"/>
      <c r="G33" s="66">
        <f t="shared" si="0"/>
        <v>0</v>
      </c>
    </row>
    <row r="34" spans="1:7">
      <c r="A34" s="74"/>
      <c r="B34" s="75"/>
      <c r="C34" s="58"/>
      <c r="D34" s="58"/>
      <c r="E34" s="58"/>
      <c r="F34" s="58"/>
      <c r="G34" s="66">
        <f t="shared" si="0"/>
        <v>0</v>
      </c>
    </row>
    <row r="35" spans="1:7">
      <c r="A35" s="74"/>
      <c r="B35" s="75"/>
      <c r="C35" s="58"/>
      <c r="D35" s="58"/>
      <c r="E35" s="58"/>
      <c r="F35" s="58"/>
      <c r="G35" s="66">
        <f t="shared" si="0"/>
        <v>0</v>
      </c>
    </row>
    <row r="36" spans="1:7">
      <c r="A36" s="74"/>
      <c r="B36" s="75"/>
      <c r="C36" s="58"/>
      <c r="D36" s="58"/>
      <c r="E36" s="58"/>
      <c r="F36" s="58"/>
      <c r="G36" s="66">
        <f t="shared" si="0"/>
        <v>0</v>
      </c>
    </row>
    <row r="37" spans="1:7">
      <c r="A37" s="74"/>
      <c r="B37" s="75"/>
      <c r="C37" s="58"/>
      <c r="D37" s="58"/>
      <c r="E37" s="58"/>
      <c r="F37" s="58"/>
      <c r="G37" s="66">
        <f t="shared" si="0"/>
        <v>0</v>
      </c>
    </row>
    <row r="38" spans="1:7">
      <c r="A38" s="74"/>
      <c r="B38" s="75"/>
      <c r="C38" s="58"/>
      <c r="D38" s="58"/>
      <c r="E38" s="58"/>
      <c r="F38" s="58"/>
      <c r="G38" s="66">
        <f t="shared" si="0"/>
        <v>0</v>
      </c>
    </row>
    <row r="39" spans="1:7">
      <c r="A39" s="74"/>
      <c r="B39" s="75"/>
      <c r="C39" s="58"/>
      <c r="D39" s="58"/>
      <c r="E39" s="58"/>
      <c r="F39" s="58"/>
      <c r="G39" s="66">
        <f t="shared" si="0"/>
        <v>0</v>
      </c>
    </row>
    <row r="40" spans="1:7">
      <c r="A40" s="74"/>
      <c r="B40" s="75"/>
      <c r="C40" s="58"/>
      <c r="D40" s="58"/>
      <c r="E40" s="58"/>
      <c r="F40" s="58"/>
      <c r="G40" s="66">
        <f t="shared" si="0"/>
        <v>0</v>
      </c>
    </row>
    <row r="41" spans="1:7">
      <c r="A41" s="74"/>
      <c r="B41" s="75"/>
      <c r="C41" s="58"/>
      <c r="D41" s="58"/>
      <c r="E41" s="58"/>
      <c r="F41" s="58"/>
      <c r="G41" s="66">
        <f t="shared" si="0"/>
        <v>0</v>
      </c>
    </row>
    <row r="42" spans="1:7">
      <c r="A42" s="74"/>
      <c r="B42" s="75"/>
      <c r="C42" s="58"/>
      <c r="D42" s="58"/>
      <c r="E42" s="58"/>
      <c r="F42" s="58"/>
      <c r="G42" s="66">
        <f t="shared" si="0"/>
        <v>0</v>
      </c>
    </row>
    <row r="43" spans="1:7">
      <c r="A43" s="74"/>
      <c r="B43" s="75"/>
      <c r="C43" s="58"/>
      <c r="D43" s="58"/>
      <c r="E43" s="58"/>
      <c r="F43" s="58"/>
      <c r="G43" s="66">
        <f t="shared" si="0"/>
        <v>0</v>
      </c>
    </row>
    <row r="44" spans="1:7">
      <c r="A44" s="74"/>
      <c r="B44" s="75"/>
      <c r="C44" s="58"/>
      <c r="D44" s="58"/>
      <c r="E44" s="58"/>
      <c r="F44" s="58"/>
      <c r="G44" s="66">
        <f t="shared" si="0"/>
        <v>0</v>
      </c>
    </row>
    <row r="45" spans="1:7">
      <c r="A45" s="74"/>
      <c r="B45" s="75"/>
      <c r="C45" s="58"/>
      <c r="D45" s="58"/>
      <c r="E45" s="58"/>
      <c r="F45" s="58"/>
      <c r="G45" s="66">
        <f t="shared" si="0"/>
        <v>0</v>
      </c>
    </row>
    <row r="46" spans="1:7">
      <c r="A46" s="74"/>
      <c r="B46" s="75"/>
      <c r="C46" s="58"/>
      <c r="D46" s="58"/>
      <c r="E46" s="58"/>
      <c r="F46" s="58"/>
      <c r="G46" s="66">
        <f t="shared" si="0"/>
        <v>0</v>
      </c>
    </row>
    <row r="47" spans="1:7">
      <c r="A47" s="74"/>
      <c r="B47" s="75"/>
      <c r="C47" s="58"/>
      <c r="D47" s="58"/>
      <c r="E47" s="58"/>
      <c r="F47" s="58"/>
      <c r="G47" s="66">
        <f t="shared" si="0"/>
        <v>0</v>
      </c>
    </row>
    <row r="48" spans="1:7">
      <c r="A48" s="74"/>
      <c r="B48" s="75"/>
      <c r="C48" s="58"/>
      <c r="D48" s="58"/>
      <c r="E48" s="58"/>
      <c r="F48" s="58"/>
      <c r="G48" s="66">
        <f t="shared" si="0"/>
        <v>0</v>
      </c>
    </row>
    <row r="49" spans="1:7">
      <c r="A49" s="74"/>
      <c r="B49" s="75"/>
      <c r="C49" s="58"/>
      <c r="D49" s="58"/>
      <c r="E49" s="58"/>
      <c r="F49" s="58"/>
      <c r="G49" s="66">
        <f t="shared" si="0"/>
        <v>0</v>
      </c>
    </row>
    <row r="50" spans="1:7">
      <c r="A50" s="74"/>
      <c r="B50" s="75"/>
      <c r="C50" s="58"/>
      <c r="D50" s="58"/>
      <c r="E50" s="58"/>
      <c r="F50" s="58"/>
      <c r="G50" s="66">
        <f t="shared" si="0"/>
        <v>0</v>
      </c>
    </row>
    <row r="51" spans="1:7">
      <c r="A51" s="74"/>
      <c r="B51" s="75"/>
      <c r="C51" s="58"/>
      <c r="D51" s="58"/>
      <c r="E51" s="58"/>
      <c r="F51" s="58"/>
      <c r="G51" s="66">
        <f t="shared" si="0"/>
        <v>0</v>
      </c>
    </row>
    <row r="52" spans="1:7">
      <c r="A52" s="74"/>
      <c r="B52" s="75"/>
      <c r="C52" s="58"/>
      <c r="D52" s="58"/>
      <c r="E52" s="58"/>
      <c r="F52" s="58"/>
      <c r="G52" s="66">
        <f t="shared" si="0"/>
        <v>0</v>
      </c>
    </row>
    <row r="53" spans="1:7">
      <c r="A53" s="74"/>
      <c r="B53" s="75"/>
      <c r="C53" s="58"/>
      <c r="D53" s="58"/>
      <c r="E53" s="58"/>
      <c r="F53" s="58"/>
      <c r="G53" s="66">
        <f t="shared" si="0"/>
        <v>0</v>
      </c>
    </row>
    <row r="54" spans="1:7">
      <c r="A54" s="74"/>
      <c r="B54" s="75"/>
      <c r="C54" s="58"/>
      <c r="D54" s="58"/>
      <c r="E54" s="58"/>
      <c r="F54" s="58"/>
      <c r="G54" s="66">
        <f t="shared" si="0"/>
        <v>0</v>
      </c>
    </row>
    <row r="55" spans="1:7">
      <c r="A55" s="74"/>
      <c r="B55" s="75"/>
      <c r="C55" s="58"/>
      <c r="D55" s="58"/>
      <c r="E55" s="58"/>
      <c r="F55" s="58"/>
      <c r="G55" s="66">
        <f t="shared" si="0"/>
        <v>0</v>
      </c>
    </row>
    <row r="56" spans="1:7">
      <c r="A56" s="74"/>
      <c r="B56" s="75"/>
      <c r="C56" s="58"/>
      <c r="D56" s="58"/>
      <c r="E56" s="58"/>
      <c r="F56" s="58"/>
      <c r="G56" s="66">
        <f t="shared" si="0"/>
        <v>0</v>
      </c>
    </row>
    <row r="57" spans="1:7">
      <c r="A57" s="74"/>
      <c r="B57" s="75"/>
      <c r="C57" s="58"/>
      <c r="D57" s="58"/>
      <c r="E57" s="58"/>
      <c r="F57" s="58"/>
      <c r="G57" s="66">
        <f t="shared" si="0"/>
        <v>0</v>
      </c>
    </row>
    <row r="58" spans="1:7">
      <c r="A58" s="74"/>
      <c r="B58" s="75"/>
      <c r="C58" s="58"/>
      <c r="D58" s="58"/>
      <c r="E58" s="58"/>
      <c r="F58" s="58"/>
      <c r="G58" s="66">
        <f t="shared" si="0"/>
        <v>0</v>
      </c>
    </row>
    <row r="59" spans="1:7">
      <c r="A59" s="74"/>
      <c r="B59" s="75"/>
      <c r="C59" s="58"/>
      <c r="D59" s="58"/>
      <c r="E59" s="58"/>
      <c r="F59" s="58"/>
      <c r="G59" s="66">
        <f t="shared" si="0"/>
        <v>0</v>
      </c>
    </row>
    <row r="60" spans="1:7">
      <c r="A60" s="74"/>
      <c r="B60" s="75"/>
      <c r="C60" s="58"/>
      <c r="D60" s="58"/>
      <c r="E60" s="58"/>
      <c r="F60" s="58"/>
      <c r="G60" s="66">
        <f t="shared" si="0"/>
        <v>0</v>
      </c>
    </row>
    <row r="61" spans="1:7">
      <c r="A61" s="74"/>
      <c r="B61" s="75"/>
      <c r="C61" s="58"/>
      <c r="D61" s="58"/>
      <c r="E61" s="58"/>
      <c r="F61" s="58"/>
      <c r="G61" s="66">
        <f t="shared" si="0"/>
        <v>0</v>
      </c>
    </row>
    <row r="62" spans="1:7">
      <c r="A62" s="74"/>
      <c r="B62" s="75"/>
      <c r="C62" s="58"/>
      <c r="D62" s="58"/>
      <c r="E62" s="58"/>
      <c r="F62" s="58"/>
      <c r="G62" s="66">
        <f t="shared" si="0"/>
        <v>0</v>
      </c>
    </row>
    <row r="63" spans="1:7">
      <c r="A63" s="74"/>
      <c r="B63" s="75"/>
      <c r="C63" s="58"/>
      <c r="D63" s="58"/>
      <c r="E63" s="58"/>
      <c r="F63" s="58"/>
      <c r="G63" s="66">
        <f t="shared" si="0"/>
        <v>0</v>
      </c>
    </row>
    <row r="64" spans="1:7">
      <c r="A64" s="74"/>
      <c r="B64" s="75"/>
      <c r="C64" s="58"/>
      <c r="D64" s="58"/>
      <c r="E64" s="58"/>
      <c r="F64" s="58"/>
      <c r="G64" s="66">
        <f t="shared" si="0"/>
        <v>0</v>
      </c>
    </row>
    <row r="65" spans="1:7">
      <c r="A65" s="74"/>
      <c r="B65" s="75"/>
      <c r="C65" s="58"/>
      <c r="D65" s="58"/>
      <c r="E65" s="58"/>
      <c r="F65" s="58"/>
      <c r="G65" s="66">
        <f t="shared" si="0"/>
        <v>0</v>
      </c>
    </row>
    <row r="66" spans="1:7">
      <c r="A66" s="74"/>
      <c r="B66" s="75"/>
      <c r="C66" s="58"/>
      <c r="D66" s="58"/>
      <c r="E66" s="58"/>
      <c r="F66" s="58"/>
      <c r="G66" s="66">
        <f t="shared" si="0"/>
        <v>0</v>
      </c>
    </row>
    <row r="67" spans="1:7">
      <c r="A67" s="74"/>
      <c r="B67" s="75"/>
      <c r="C67" s="58"/>
      <c r="D67" s="58"/>
      <c r="E67" s="58"/>
      <c r="F67" s="58"/>
      <c r="G67" s="66">
        <f t="shared" si="0"/>
        <v>0</v>
      </c>
    </row>
    <row r="68" spans="1:7">
      <c r="A68" s="74"/>
      <c r="B68" s="75"/>
      <c r="C68" s="58"/>
      <c r="D68" s="58"/>
      <c r="E68" s="58"/>
      <c r="F68" s="58"/>
      <c r="G68" s="66">
        <f t="shared" si="0"/>
        <v>0</v>
      </c>
    </row>
    <row r="69" spans="1:7">
      <c r="A69" s="74"/>
      <c r="B69" s="75"/>
      <c r="C69" s="58"/>
      <c r="D69" s="58"/>
      <c r="E69" s="58"/>
      <c r="F69" s="58"/>
      <c r="G69" s="66">
        <f t="shared" si="0"/>
        <v>0</v>
      </c>
    </row>
    <row r="70" spans="1:7">
      <c r="A70" s="74"/>
      <c r="B70" s="75"/>
      <c r="C70" s="58"/>
      <c r="D70" s="58"/>
      <c r="E70" s="58"/>
      <c r="F70" s="58"/>
      <c r="G70" s="66">
        <f t="shared" si="0"/>
        <v>0</v>
      </c>
    </row>
    <row r="71" spans="1:7">
      <c r="A71" s="74"/>
      <c r="B71" s="75"/>
      <c r="C71" s="58"/>
      <c r="D71" s="58"/>
      <c r="E71" s="58"/>
      <c r="F71" s="58"/>
      <c r="G71" s="66">
        <f t="shared" si="0"/>
        <v>0</v>
      </c>
    </row>
    <row r="72" spans="1:7">
      <c r="A72" s="74"/>
      <c r="B72" s="75"/>
      <c r="C72" s="58"/>
      <c r="D72" s="58"/>
      <c r="E72" s="58"/>
      <c r="F72" s="58"/>
      <c r="G72" s="66">
        <f t="shared" si="0"/>
        <v>0</v>
      </c>
    </row>
    <row r="73" spans="1:7">
      <c r="A73" s="74"/>
      <c r="B73" s="75"/>
      <c r="C73" s="58"/>
      <c r="D73" s="58"/>
      <c r="E73" s="58"/>
      <c r="F73" s="58"/>
      <c r="G73" s="66">
        <f t="shared" ref="G73:G136" si="1">+SUM(C73:F73)</f>
        <v>0</v>
      </c>
    </row>
    <row r="74" spans="1:7">
      <c r="A74" s="74"/>
      <c r="B74" s="75"/>
      <c r="C74" s="58"/>
      <c r="D74" s="58"/>
      <c r="E74" s="58"/>
      <c r="F74" s="58"/>
      <c r="G74" s="66">
        <f t="shared" si="1"/>
        <v>0</v>
      </c>
    </row>
    <row r="75" spans="1:7">
      <c r="A75" s="74"/>
      <c r="B75" s="75"/>
      <c r="C75" s="58"/>
      <c r="D75" s="58"/>
      <c r="E75" s="58"/>
      <c r="F75" s="58"/>
      <c r="G75" s="66">
        <f t="shared" si="1"/>
        <v>0</v>
      </c>
    </row>
    <row r="76" spans="1:7">
      <c r="A76" s="74"/>
      <c r="B76" s="75"/>
      <c r="C76" s="58"/>
      <c r="D76" s="58"/>
      <c r="E76" s="58"/>
      <c r="F76" s="58"/>
      <c r="G76" s="66">
        <f t="shared" si="1"/>
        <v>0</v>
      </c>
    </row>
    <row r="77" spans="1:7">
      <c r="A77" s="74"/>
      <c r="B77" s="75"/>
      <c r="C77" s="58"/>
      <c r="D77" s="58"/>
      <c r="E77" s="58"/>
      <c r="F77" s="58"/>
      <c r="G77" s="66">
        <f t="shared" si="1"/>
        <v>0</v>
      </c>
    </row>
    <row r="78" spans="1:7">
      <c r="A78" s="74"/>
      <c r="B78" s="75"/>
      <c r="C78" s="58"/>
      <c r="D78" s="58"/>
      <c r="E78" s="58"/>
      <c r="F78" s="58"/>
      <c r="G78" s="66">
        <f t="shared" si="1"/>
        <v>0</v>
      </c>
    </row>
    <row r="79" spans="1:7">
      <c r="A79" s="74"/>
      <c r="B79" s="75"/>
      <c r="C79" s="58"/>
      <c r="D79" s="58"/>
      <c r="E79" s="58"/>
      <c r="F79" s="58"/>
      <c r="G79" s="66">
        <f t="shared" si="1"/>
        <v>0</v>
      </c>
    </row>
    <row r="80" spans="1:7">
      <c r="A80" s="74"/>
      <c r="B80" s="75"/>
      <c r="C80" s="58"/>
      <c r="D80" s="58"/>
      <c r="E80" s="58"/>
      <c r="F80" s="58"/>
      <c r="G80" s="66">
        <f t="shared" si="1"/>
        <v>0</v>
      </c>
    </row>
    <row r="81" spans="1:7">
      <c r="A81" s="74"/>
      <c r="B81" s="75"/>
      <c r="C81" s="58"/>
      <c r="D81" s="58"/>
      <c r="E81" s="58"/>
      <c r="F81" s="58"/>
      <c r="G81" s="66">
        <f t="shared" si="1"/>
        <v>0</v>
      </c>
    </row>
    <row r="82" spans="1:7">
      <c r="A82" s="74"/>
      <c r="B82" s="75"/>
      <c r="C82" s="58"/>
      <c r="D82" s="58"/>
      <c r="E82" s="58"/>
      <c r="F82" s="58"/>
      <c r="G82" s="66">
        <f t="shared" si="1"/>
        <v>0</v>
      </c>
    </row>
    <row r="83" spans="1:7">
      <c r="A83" s="74"/>
      <c r="B83" s="75"/>
      <c r="C83" s="58"/>
      <c r="D83" s="58"/>
      <c r="E83" s="58"/>
      <c r="F83" s="58"/>
      <c r="G83" s="66">
        <f t="shared" si="1"/>
        <v>0</v>
      </c>
    </row>
    <row r="84" spans="1:7">
      <c r="A84" s="74"/>
      <c r="B84" s="75"/>
      <c r="C84" s="58"/>
      <c r="D84" s="58"/>
      <c r="E84" s="58"/>
      <c r="F84" s="58"/>
      <c r="G84" s="66">
        <f t="shared" si="1"/>
        <v>0</v>
      </c>
    </row>
    <row r="85" spans="1:7">
      <c r="A85" s="74"/>
      <c r="B85" s="75"/>
      <c r="C85" s="58"/>
      <c r="D85" s="58"/>
      <c r="E85" s="58"/>
      <c r="F85" s="58"/>
      <c r="G85" s="66">
        <f t="shared" si="1"/>
        <v>0</v>
      </c>
    </row>
    <row r="86" spans="1:7">
      <c r="A86" s="74"/>
      <c r="B86" s="75"/>
      <c r="C86" s="58"/>
      <c r="D86" s="58"/>
      <c r="E86" s="58"/>
      <c r="F86" s="58"/>
      <c r="G86" s="66">
        <f t="shared" si="1"/>
        <v>0</v>
      </c>
    </row>
    <row r="87" spans="1:7">
      <c r="A87" s="74"/>
      <c r="B87" s="75"/>
      <c r="C87" s="58"/>
      <c r="D87" s="58"/>
      <c r="E87" s="58"/>
      <c r="F87" s="58"/>
      <c r="G87" s="66">
        <f t="shared" si="1"/>
        <v>0</v>
      </c>
    </row>
    <row r="88" spans="1:7">
      <c r="A88" s="74"/>
      <c r="B88" s="75"/>
      <c r="C88" s="58"/>
      <c r="D88" s="58"/>
      <c r="E88" s="58"/>
      <c r="F88" s="58"/>
      <c r="G88" s="66">
        <f t="shared" si="1"/>
        <v>0</v>
      </c>
    </row>
    <row r="89" spans="1:7">
      <c r="A89" s="74"/>
      <c r="B89" s="75"/>
      <c r="C89" s="58"/>
      <c r="D89" s="58"/>
      <c r="E89" s="58"/>
      <c r="F89" s="58"/>
      <c r="G89" s="66">
        <f t="shared" si="1"/>
        <v>0</v>
      </c>
    </row>
    <row r="90" spans="1:7">
      <c r="A90" s="74"/>
      <c r="B90" s="75"/>
      <c r="C90" s="58"/>
      <c r="D90" s="58"/>
      <c r="E90" s="58"/>
      <c r="F90" s="58"/>
      <c r="G90" s="66">
        <f t="shared" si="1"/>
        <v>0</v>
      </c>
    </row>
    <row r="91" spans="1:7">
      <c r="A91" s="74"/>
      <c r="B91" s="75"/>
      <c r="C91" s="58"/>
      <c r="D91" s="58"/>
      <c r="E91" s="58"/>
      <c r="F91" s="58"/>
      <c r="G91" s="66">
        <f t="shared" si="1"/>
        <v>0</v>
      </c>
    </row>
    <row r="92" spans="1:7">
      <c r="A92" s="74"/>
      <c r="B92" s="75"/>
      <c r="C92" s="58"/>
      <c r="D92" s="58"/>
      <c r="E92" s="58"/>
      <c r="F92" s="58"/>
      <c r="G92" s="66">
        <f t="shared" si="1"/>
        <v>0</v>
      </c>
    </row>
    <row r="93" spans="1:7">
      <c r="A93" s="74"/>
      <c r="B93" s="75"/>
      <c r="C93" s="58"/>
      <c r="D93" s="58"/>
      <c r="E93" s="58"/>
      <c r="F93" s="58"/>
      <c r="G93" s="66">
        <f t="shared" si="1"/>
        <v>0</v>
      </c>
    </row>
    <row r="94" spans="1:7">
      <c r="A94" s="74"/>
      <c r="B94" s="75"/>
      <c r="C94" s="58"/>
      <c r="D94" s="58"/>
      <c r="E94" s="58"/>
      <c r="F94" s="58"/>
      <c r="G94" s="66">
        <f t="shared" si="1"/>
        <v>0</v>
      </c>
    </row>
    <row r="95" spans="1:7">
      <c r="A95" s="74"/>
      <c r="B95" s="75"/>
      <c r="C95" s="58"/>
      <c r="D95" s="58"/>
      <c r="E95" s="58"/>
      <c r="F95" s="58"/>
      <c r="G95" s="66">
        <f t="shared" si="1"/>
        <v>0</v>
      </c>
    </row>
    <row r="96" spans="1:7">
      <c r="A96" s="74"/>
      <c r="B96" s="75"/>
      <c r="C96" s="58"/>
      <c r="D96" s="58"/>
      <c r="E96" s="58"/>
      <c r="F96" s="58"/>
      <c r="G96" s="66">
        <f t="shared" si="1"/>
        <v>0</v>
      </c>
    </row>
    <row r="97" spans="1:7">
      <c r="A97" s="74"/>
      <c r="B97" s="75"/>
      <c r="C97" s="58"/>
      <c r="D97" s="58"/>
      <c r="E97" s="58"/>
      <c r="F97" s="58"/>
      <c r="G97" s="66">
        <f t="shared" si="1"/>
        <v>0</v>
      </c>
    </row>
    <row r="98" spans="1:7">
      <c r="A98" s="74"/>
      <c r="B98" s="75"/>
      <c r="C98" s="58"/>
      <c r="D98" s="58"/>
      <c r="E98" s="58"/>
      <c r="F98" s="58"/>
      <c r="G98" s="66">
        <f t="shared" si="1"/>
        <v>0</v>
      </c>
    </row>
    <row r="99" spans="1:7">
      <c r="A99" s="74"/>
      <c r="B99" s="75"/>
      <c r="C99" s="58"/>
      <c r="D99" s="58"/>
      <c r="E99" s="58"/>
      <c r="F99" s="58"/>
      <c r="G99" s="66">
        <f t="shared" si="1"/>
        <v>0</v>
      </c>
    </row>
    <row r="100" spans="1:7">
      <c r="A100" s="74"/>
      <c r="B100" s="75"/>
      <c r="C100" s="58"/>
      <c r="D100" s="58"/>
      <c r="E100" s="58"/>
      <c r="F100" s="58"/>
      <c r="G100" s="66">
        <f t="shared" si="1"/>
        <v>0</v>
      </c>
    </row>
    <row r="101" spans="1:7">
      <c r="A101" s="74"/>
      <c r="B101" s="75"/>
      <c r="C101" s="58"/>
      <c r="D101" s="58"/>
      <c r="E101" s="58"/>
      <c r="F101" s="58"/>
      <c r="G101" s="66">
        <f t="shared" si="1"/>
        <v>0</v>
      </c>
    </row>
    <row r="102" spans="1:7">
      <c r="A102" s="74"/>
      <c r="B102" s="75"/>
      <c r="C102" s="58"/>
      <c r="D102" s="58"/>
      <c r="E102" s="58"/>
      <c r="F102" s="58"/>
      <c r="G102" s="66">
        <f t="shared" si="1"/>
        <v>0</v>
      </c>
    </row>
    <row r="103" spans="1:7">
      <c r="A103" s="74"/>
      <c r="B103" s="75"/>
      <c r="C103" s="58"/>
      <c r="D103" s="58"/>
      <c r="E103" s="58"/>
      <c r="F103" s="58"/>
      <c r="G103" s="66">
        <f t="shared" si="1"/>
        <v>0</v>
      </c>
    </row>
    <row r="104" spans="1:7">
      <c r="A104" s="74"/>
      <c r="B104" s="75"/>
      <c r="C104" s="58"/>
      <c r="D104" s="58"/>
      <c r="E104" s="58"/>
      <c r="F104" s="58"/>
      <c r="G104" s="66">
        <f t="shared" si="1"/>
        <v>0</v>
      </c>
    </row>
    <row r="105" spans="1:7">
      <c r="A105" s="74"/>
      <c r="B105" s="75"/>
      <c r="C105" s="58"/>
      <c r="D105" s="58"/>
      <c r="E105" s="58"/>
      <c r="F105" s="58"/>
      <c r="G105" s="66">
        <f t="shared" si="1"/>
        <v>0</v>
      </c>
    </row>
    <row r="106" spans="1:7">
      <c r="A106" s="74"/>
      <c r="B106" s="75"/>
      <c r="C106" s="58"/>
      <c r="D106" s="58"/>
      <c r="E106" s="58"/>
      <c r="F106" s="58"/>
      <c r="G106" s="66">
        <f t="shared" si="1"/>
        <v>0</v>
      </c>
    </row>
    <row r="107" spans="1:7">
      <c r="A107" s="74"/>
      <c r="B107" s="75"/>
      <c r="C107" s="58"/>
      <c r="D107" s="58"/>
      <c r="E107" s="58"/>
      <c r="F107" s="58"/>
      <c r="G107" s="66">
        <f t="shared" si="1"/>
        <v>0</v>
      </c>
    </row>
    <row r="108" spans="1:7">
      <c r="A108" s="74"/>
      <c r="B108" s="75"/>
      <c r="C108" s="58"/>
      <c r="D108" s="58"/>
      <c r="E108" s="58"/>
      <c r="F108" s="58"/>
      <c r="G108" s="66">
        <f t="shared" si="1"/>
        <v>0</v>
      </c>
    </row>
    <row r="109" spans="1:7">
      <c r="A109" s="74"/>
      <c r="B109" s="75"/>
      <c r="C109" s="58"/>
      <c r="D109" s="58"/>
      <c r="E109" s="58"/>
      <c r="F109" s="58"/>
      <c r="G109" s="66">
        <f t="shared" si="1"/>
        <v>0</v>
      </c>
    </row>
    <row r="110" spans="1:7">
      <c r="A110" s="74"/>
      <c r="B110" s="75"/>
      <c r="C110" s="58"/>
      <c r="D110" s="58"/>
      <c r="E110" s="58"/>
      <c r="F110" s="58"/>
      <c r="G110" s="66">
        <f t="shared" si="1"/>
        <v>0</v>
      </c>
    </row>
    <row r="111" spans="1:7">
      <c r="A111" s="74"/>
      <c r="B111" s="75"/>
      <c r="C111" s="58"/>
      <c r="D111" s="58"/>
      <c r="E111" s="58"/>
      <c r="F111" s="58"/>
      <c r="G111" s="66">
        <f t="shared" si="1"/>
        <v>0</v>
      </c>
    </row>
    <row r="112" spans="1:7">
      <c r="A112" s="74"/>
      <c r="B112" s="75"/>
      <c r="C112" s="58"/>
      <c r="D112" s="58"/>
      <c r="E112" s="58"/>
      <c r="F112" s="58"/>
      <c r="G112" s="66">
        <f t="shared" si="1"/>
        <v>0</v>
      </c>
    </row>
    <row r="113" spans="1:7">
      <c r="A113" s="74"/>
      <c r="B113" s="75"/>
      <c r="C113" s="58"/>
      <c r="D113" s="58"/>
      <c r="E113" s="58"/>
      <c r="F113" s="58"/>
      <c r="G113" s="66">
        <f t="shared" si="1"/>
        <v>0</v>
      </c>
    </row>
    <row r="114" spans="1:7">
      <c r="A114" s="74"/>
      <c r="B114" s="75"/>
      <c r="C114" s="58"/>
      <c r="D114" s="58"/>
      <c r="E114" s="58"/>
      <c r="F114" s="58"/>
      <c r="G114" s="66">
        <f t="shared" si="1"/>
        <v>0</v>
      </c>
    </row>
    <row r="115" spans="1:7">
      <c r="A115" s="74"/>
      <c r="B115" s="75"/>
      <c r="C115" s="58"/>
      <c r="D115" s="58"/>
      <c r="E115" s="58"/>
      <c r="F115" s="58"/>
      <c r="G115" s="66">
        <f t="shared" si="1"/>
        <v>0</v>
      </c>
    </row>
    <row r="116" spans="1:7">
      <c r="A116" s="74"/>
      <c r="B116" s="75"/>
      <c r="C116" s="58"/>
      <c r="D116" s="58"/>
      <c r="E116" s="58"/>
      <c r="F116" s="58"/>
      <c r="G116" s="66">
        <f t="shared" si="1"/>
        <v>0</v>
      </c>
    </row>
    <row r="117" spans="1:7">
      <c r="A117" s="74"/>
      <c r="B117" s="75"/>
      <c r="C117" s="58"/>
      <c r="D117" s="58"/>
      <c r="E117" s="58"/>
      <c r="F117" s="58"/>
      <c r="G117" s="66">
        <f t="shared" si="1"/>
        <v>0</v>
      </c>
    </row>
    <row r="118" spans="1:7">
      <c r="A118" s="74"/>
      <c r="B118" s="75"/>
      <c r="C118" s="58"/>
      <c r="D118" s="58"/>
      <c r="E118" s="58"/>
      <c r="F118" s="58"/>
      <c r="G118" s="66">
        <f t="shared" si="1"/>
        <v>0</v>
      </c>
    </row>
    <row r="119" spans="1:7">
      <c r="A119" s="74"/>
      <c r="B119" s="75"/>
      <c r="C119" s="58"/>
      <c r="D119" s="58"/>
      <c r="E119" s="58"/>
      <c r="F119" s="58"/>
      <c r="G119" s="66">
        <f t="shared" si="1"/>
        <v>0</v>
      </c>
    </row>
    <row r="120" spans="1:7">
      <c r="A120" s="74"/>
      <c r="B120" s="75"/>
      <c r="C120" s="58"/>
      <c r="D120" s="58"/>
      <c r="E120" s="58"/>
      <c r="F120" s="58"/>
      <c r="G120" s="66">
        <f t="shared" si="1"/>
        <v>0</v>
      </c>
    </row>
    <row r="121" spans="1:7">
      <c r="A121" s="74"/>
      <c r="B121" s="75"/>
      <c r="C121" s="58"/>
      <c r="D121" s="58"/>
      <c r="E121" s="58"/>
      <c r="F121" s="58"/>
      <c r="G121" s="66">
        <f t="shared" si="1"/>
        <v>0</v>
      </c>
    </row>
    <row r="122" spans="1:7">
      <c r="A122" s="74"/>
      <c r="B122" s="75"/>
      <c r="C122" s="58"/>
      <c r="D122" s="58"/>
      <c r="E122" s="58"/>
      <c r="F122" s="58"/>
      <c r="G122" s="66">
        <f t="shared" si="1"/>
        <v>0</v>
      </c>
    </row>
    <row r="123" spans="1:7">
      <c r="A123" s="74"/>
      <c r="B123" s="75"/>
      <c r="C123" s="58"/>
      <c r="D123" s="58"/>
      <c r="E123" s="58"/>
      <c r="F123" s="58"/>
      <c r="G123" s="66">
        <f t="shared" si="1"/>
        <v>0</v>
      </c>
    </row>
    <row r="124" spans="1:7">
      <c r="A124" s="74"/>
      <c r="B124" s="75"/>
      <c r="C124" s="58"/>
      <c r="D124" s="58"/>
      <c r="E124" s="58"/>
      <c r="F124" s="58"/>
      <c r="G124" s="66">
        <f t="shared" si="1"/>
        <v>0</v>
      </c>
    </row>
    <row r="125" spans="1:7">
      <c r="A125" s="74"/>
      <c r="B125" s="75"/>
      <c r="C125" s="58"/>
      <c r="D125" s="58"/>
      <c r="E125" s="58"/>
      <c r="F125" s="58"/>
      <c r="G125" s="66">
        <f t="shared" si="1"/>
        <v>0</v>
      </c>
    </row>
    <row r="126" spans="1:7">
      <c r="A126" s="74"/>
      <c r="B126" s="75"/>
      <c r="C126" s="58"/>
      <c r="D126" s="58"/>
      <c r="E126" s="58"/>
      <c r="F126" s="58"/>
      <c r="G126" s="66">
        <f t="shared" si="1"/>
        <v>0</v>
      </c>
    </row>
    <row r="127" spans="1:7">
      <c r="A127" s="74"/>
      <c r="B127" s="75"/>
      <c r="C127" s="58"/>
      <c r="D127" s="58"/>
      <c r="E127" s="58"/>
      <c r="F127" s="58"/>
      <c r="G127" s="66">
        <f t="shared" si="1"/>
        <v>0</v>
      </c>
    </row>
    <row r="128" spans="1:7">
      <c r="A128" s="74"/>
      <c r="B128" s="75"/>
      <c r="C128" s="58"/>
      <c r="D128" s="58"/>
      <c r="E128" s="58"/>
      <c r="F128" s="58"/>
      <c r="G128" s="66">
        <f t="shared" si="1"/>
        <v>0</v>
      </c>
    </row>
    <row r="129" spans="1:7">
      <c r="A129" s="74"/>
      <c r="B129" s="75"/>
      <c r="C129" s="58"/>
      <c r="D129" s="58"/>
      <c r="E129" s="58"/>
      <c r="F129" s="58"/>
      <c r="G129" s="66">
        <f t="shared" si="1"/>
        <v>0</v>
      </c>
    </row>
    <row r="130" spans="1:7">
      <c r="A130" s="74"/>
      <c r="B130" s="75"/>
      <c r="C130" s="58"/>
      <c r="D130" s="58"/>
      <c r="E130" s="58"/>
      <c r="F130" s="58"/>
      <c r="G130" s="66">
        <f t="shared" si="1"/>
        <v>0</v>
      </c>
    </row>
    <row r="131" spans="1:7">
      <c r="A131" s="74"/>
      <c r="B131" s="75"/>
      <c r="C131" s="58"/>
      <c r="D131" s="58"/>
      <c r="E131" s="58"/>
      <c r="F131" s="58"/>
      <c r="G131" s="66">
        <f t="shared" si="1"/>
        <v>0</v>
      </c>
    </row>
    <row r="132" spans="1:7">
      <c r="A132" s="74"/>
      <c r="B132" s="75"/>
      <c r="C132" s="58"/>
      <c r="D132" s="58"/>
      <c r="E132" s="58"/>
      <c r="F132" s="58"/>
      <c r="G132" s="66">
        <f t="shared" si="1"/>
        <v>0</v>
      </c>
    </row>
    <row r="133" spans="1:7">
      <c r="A133" s="74"/>
      <c r="B133" s="75"/>
      <c r="C133" s="58"/>
      <c r="D133" s="58"/>
      <c r="E133" s="58"/>
      <c r="F133" s="58"/>
      <c r="G133" s="66">
        <f t="shared" si="1"/>
        <v>0</v>
      </c>
    </row>
    <row r="134" spans="1:7">
      <c r="A134" s="74"/>
      <c r="B134" s="75"/>
      <c r="C134" s="58"/>
      <c r="D134" s="58"/>
      <c r="E134" s="58"/>
      <c r="F134" s="58"/>
      <c r="G134" s="66">
        <f t="shared" si="1"/>
        <v>0</v>
      </c>
    </row>
    <row r="135" spans="1:7">
      <c r="A135" s="74"/>
      <c r="B135" s="75"/>
      <c r="C135" s="58"/>
      <c r="D135" s="58"/>
      <c r="E135" s="58"/>
      <c r="F135" s="58"/>
      <c r="G135" s="66">
        <f t="shared" si="1"/>
        <v>0</v>
      </c>
    </row>
    <row r="136" spans="1:7">
      <c r="A136" s="74"/>
      <c r="B136" s="75"/>
      <c r="C136" s="58"/>
      <c r="D136" s="58"/>
      <c r="E136" s="58"/>
      <c r="F136" s="58"/>
      <c r="G136" s="66">
        <f t="shared" si="1"/>
        <v>0</v>
      </c>
    </row>
    <row r="137" spans="1:7">
      <c r="A137" s="74"/>
      <c r="B137" s="75"/>
      <c r="C137" s="58"/>
      <c r="D137" s="58"/>
      <c r="E137" s="58"/>
      <c r="F137" s="58"/>
      <c r="G137" s="66">
        <f t="shared" ref="G137:G172" si="2">+SUM(C137:F137)</f>
        <v>0</v>
      </c>
    </row>
    <row r="138" spans="1:7">
      <c r="A138" s="74"/>
      <c r="B138" s="75"/>
      <c r="C138" s="58"/>
      <c r="D138" s="58"/>
      <c r="E138" s="58"/>
      <c r="F138" s="58"/>
      <c r="G138" s="66">
        <f t="shared" si="2"/>
        <v>0</v>
      </c>
    </row>
    <row r="139" spans="1:7">
      <c r="A139" s="74"/>
      <c r="B139" s="75"/>
      <c r="C139" s="58"/>
      <c r="D139" s="58"/>
      <c r="E139" s="58"/>
      <c r="F139" s="58"/>
      <c r="G139" s="66">
        <f t="shared" si="2"/>
        <v>0</v>
      </c>
    </row>
    <row r="140" spans="1:7">
      <c r="A140" s="74"/>
      <c r="B140" s="75"/>
      <c r="C140" s="58"/>
      <c r="D140" s="58"/>
      <c r="E140" s="58"/>
      <c r="F140" s="58"/>
      <c r="G140" s="66">
        <f t="shared" si="2"/>
        <v>0</v>
      </c>
    </row>
    <row r="141" spans="1:7">
      <c r="A141" s="74"/>
      <c r="B141" s="75"/>
      <c r="C141" s="58"/>
      <c r="D141" s="58"/>
      <c r="E141" s="58"/>
      <c r="F141" s="58"/>
      <c r="G141" s="66">
        <f t="shared" si="2"/>
        <v>0</v>
      </c>
    </row>
    <row r="142" spans="1:7">
      <c r="A142" s="74"/>
      <c r="B142" s="75"/>
      <c r="C142" s="58"/>
      <c r="D142" s="58"/>
      <c r="E142" s="58"/>
      <c r="F142" s="58"/>
      <c r="G142" s="66">
        <f t="shared" si="2"/>
        <v>0</v>
      </c>
    </row>
    <row r="143" spans="1:7">
      <c r="A143" s="74"/>
      <c r="B143" s="75"/>
      <c r="C143" s="58"/>
      <c r="D143" s="58"/>
      <c r="E143" s="58"/>
      <c r="F143" s="58"/>
      <c r="G143" s="66">
        <f t="shared" si="2"/>
        <v>0</v>
      </c>
    </row>
    <row r="144" spans="1:7">
      <c r="A144" s="74"/>
      <c r="B144" s="75"/>
      <c r="C144" s="58"/>
      <c r="D144" s="58"/>
      <c r="E144" s="58"/>
      <c r="F144" s="58"/>
      <c r="G144" s="66">
        <f t="shared" si="2"/>
        <v>0</v>
      </c>
    </row>
    <row r="145" spans="1:7">
      <c r="A145" s="74"/>
      <c r="B145" s="75"/>
      <c r="C145" s="58"/>
      <c r="D145" s="58"/>
      <c r="E145" s="58"/>
      <c r="F145" s="58"/>
      <c r="G145" s="66">
        <f t="shared" si="2"/>
        <v>0</v>
      </c>
    </row>
    <row r="146" spans="1:7">
      <c r="A146" s="74"/>
      <c r="B146" s="75"/>
      <c r="C146" s="58"/>
      <c r="D146" s="58"/>
      <c r="E146" s="58"/>
      <c r="F146" s="58"/>
      <c r="G146" s="66">
        <f t="shared" si="2"/>
        <v>0</v>
      </c>
    </row>
    <row r="147" spans="1:7">
      <c r="A147" s="74"/>
      <c r="B147" s="75"/>
      <c r="C147" s="58"/>
      <c r="D147" s="58"/>
      <c r="E147" s="58"/>
      <c r="F147" s="58"/>
      <c r="G147" s="66">
        <f t="shared" si="2"/>
        <v>0</v>
      </c>
    </row>
    <row r="148" spans="1:7">
      <c r="A148" s="74"/>
      <c r="B148" s="75"/>
      <c r="C148" s="58"/>
      <c r="D148" s="58"/>
      <c r="E148" s="58"/>
      <c r="F148" s="58"/>
      <c r="G148" s="66">
        <f t="shared" si="2"/>
        <v>0</v>
      </c>
    </row>
    <row r="149" spans="1:7">
      <c r="A149" s="74"/>
      <c r="B149" s="75"/>
      <c r="C149" s="58"/>
      <c r="D149" s="58"/>
      <c r="E149" s="58"/>
      <c r="F149" s="58"/>
      <c r="G149" s="66">
        <f t="shared" si="2"/>
        <v>0</v>
      </c>
    </row>
    <row r="150" spans="1:7">
      <c r="A150" s="74"/>
      <c r="B150" s="75"/>
      <c r="C150" s="58"/>
      <c r="D150" s="58"/>
      <c r="E150" s="58"/>
      <c r="F150" s="58"/>
      <c r="G150" s="66">
        <f t="shared" si="2"/>
        <v>0</v>
      </c>
    </row>
    <row r="151" spans="1:7">
      <c r="A151" s="74"/>
      <c r="B151" s="75"/>
      <c r="C151" s="58"/>
      <c r="D151" s="58"/>
      <c r="E151" s="58"/>
      <c r="F151" s="58"/>
      <c r="G151" s="66">
        <f t="shared" si="2"/>
        <v>0</v>
      </c>
    </row>
    <row r="152" spans="1:7">
      <c r="A152" s="74"/>
      <c r="B152" s="75"/>
      <c r="C152" s="58"/>
      <c r="D152" s="58"/>
      <c r="E152" s="58"/>
      <c r="F152" s="58"/>
      <c r="G152" s="66">
        <f t="shared" si="2"/>
        <v>0</v>
      </c>
    </row>
    <row r="153" spans="1:7">
      <c r="A153" s="74"/>
      <c r="B153" s="75"/>
      <c r="C153" s="58"/>
      <c r="D153" s="58"/>
      <c r="E153" s="58"/>
      <c r="F153" s="58"/>
      <c r="G153" s="66">
        <f t="shared" si="2"/>
        <v>0</v>
      </c>
    </row>
    <row r="154" spans="1:7">
      <c r="A154" s="74"/>
      <c r="B154" s="75"/>
      <c r="C154" s="58"/>
      <c r="D154" s="58"/>
      <c r="E154" s="58"/>
      <c r="F154" s="58"/>
      <c r="G154" s="66">
        <f t="shared" si="2"/>
        <v>0</v>
      </c>
    </row>
    <row r="155" spans="1:7">
      <c r="A155" s="74"/>
      <c r="B155" s="75"/>
      <c r="C155" s="58"/>
      <c r="D155" s="58"/>
      <c r="E155" s="58"/>
      <c r="F155" s="58"/>
      <c r="G155" s="66">
        <f t="shared" si="2"/>
        <v>0</v>
      </c>
    </row>
    <row r="156" spans="1:7">
      <c r="A156" s="74"/>
      <c r="B156" s="75"/>
      <c r="C156" s="58"/>
      <c r="D156" s="58"/>
      <c r="E156" s="58"/>
      <c r="F156" s="58"/>
      <c r="G156" s="66">
        <f t="shared" si="2"/>
        <v>0</v>
      </c>
    </row>
    <row r="157" spans="1:7">
      <c r="A157" s="74"/>
      <c r="B157" s="75"/>
      <c r="C157" s="58"/>
      <c r="D157" s="58"/>
      <c r="E157" s="58"/>
      <c r="F157" s="58"/>
      <c r="G157" s="66">
        <f t="shared" si="2"/>
        <v>0</v>
      </c>
    </row>
    <row r="158" spans="1:7">
      <c r="A158" s="74"/>
      <c r="B158" s="75"/>
      <c r="C158" s="58"/>
      <c r="D158" s="58"/>
      <c r="E158" s="58"/>
      <c r="F158" s="58"/>
      <c r="G158" s="66">
        <f t="shared" si="2"/>
        <v>0</v>
      </c>
    </row>
    <row r="159" spans="1:7">
      <c r="A159" s="74"/>
      <c r="B159" s="75"/>
      <c r="C159" s="58"/>
      <c r="D159" s="58"/>
      <c r="E159" s="58"/>
      <c r="F159" s="58"/>
      <c r="G159" s="66">
        <f t="shared" si="2"/>
        <v>0</v>
      </c>
    </row>
    <row r="160" spans="1:7">
      <c r="A160" s="74"/>
      <c r="B160" s="75"/>
      <c r="C160" s="58"/>
      <c r="D160" s="58"/>
      <c r="E160" s="58"/>
      <c r="F160" s="58"/>
      <c r="G160" s="66">
        <f t="shared" si="2"/>
        <v>0</v>
      </c>
    </row>
    <row r="161" spans="1:7">
      <c r="A161" s="74"/>
      <c r="B161" s="75"/>
      <c r="C161" s="58"/>
      <c r="D161" s="58"/>
      <c r="E161" s="58"/>
      <c r="F161" s="58"/>
      <c r="G161" s="66">
        <f t="shared" si="2"/>
        <v>0</v>
      </c>
    </row>
    <row r="162" spans="1:7">
      <c r="A162" s="74"/>
      <c r="B162" s="75"/>
      <c r="C162" s="58"/>
      <c r="D162" s="58"/>
      <c r="E162" s="58"/>
      <c r="F162" s="58"/>
      <c r="G162" s="66">
        <f t="shared" si="2"/>
        <v>0</v>
      </c>
    </row>
    <row r="163" spans="1:7">
      <c r="A163" s="74"/>
      <c r="B163" s="75"/>
      <c r="C163" s="58"/>
      <c r="D163" s="58"/>
      <c r="E163" s="58"/>
      <c r="F163" s="58"/>
      <c r="G163" s="66">
        <f t="shared" si="2"/>
        <v>0</v>
      </c>
    </row>
    <row r="164" spans="1:7">
      <c r="A164" s="74"/>
      <c r="B164" s="75"/>
      <c r="C164" s="58"/>
      <c r="D164" s="58"/>
      <c r="E164" s="58"/>
      <c r="F164" s="58"/>
      <c r="G164" s="66">
        <f t="shared" si="2"/>
        <v>0</v>
      </c>
    </row>
    <row r="165" spans="1:7">
      <c r="A165" s="74"/>
      <c r="B165" s="75"/>
      <c r="C165" s="58"/>
      <c r="D165" s="58"/>
      <c r="E165" s="58"/>
      <c r="F165" s="58"/>
      <c r="G165" s="66">
        <f t="shared" si="2"/>
        <v>0</v>
      </c>
    </row>
    <row r="166" spans="1:7">
      <c r="A166" s="74"/>
      <c r="B166" s="75"/>
      <c r="C166" s="58"/>
      <c r="D166" s="58"/>
      <c r="E166" s="58"/>
      <c r="F166" s="58"/>
      <c r="G166" s="66">
        <f t="shared" si="2"/>
        <v>0</v>
      </c>
    </row>
    <row r="167" spans="1:7">
      <c r="A167" s="74"/>
      <c r="B167" s="75"/>
      <c r="C167" s="58"/>
      <c r="D167" s="58"/>
      <c r="E167" s="58"/>
      <c r="F167" s="58"/>
      <c r="G167" s="66">
        <f t="shared" si="2"/>
        <v>0</v>
      </c>
    </row>
    <row r="168" spans="1:7">
      <c r="A168" s="74"/>
      <c r="B168" s="75"/>
      <c r="C168" s="58"/>
      <c r="D168" s="58"/>
      <c r="E168" s="58"/>
      <c r="F168" s="58"/>
      <c r="G168" s="66">
        <f t="shared" si="2"/>
        <v>0</v>
      </c>
    </row>
    <row r="169" spans="1:7">
      <c r="A169" s="74"/>
      <c r="B169" s="75"/>
      <c r="C169" s="58"/>
      <c r="D169" s="58"/>
      <c r="E169" s="58"/>
      <c r="F169" s="58"/>
      <c r="G169" s="66">
        <f t="shared" si="2"/>
        <v>0</v>
      </c>
    </row>
    <row r="170" spans="1:7">
      <c r="A170" s="74"/>
      <c r="B170" s="75"/>
      <c r="C170" s="58"/>
      <c r="D170" s="58"/>
      <c r="E170" s="58"/>
      <c r="F170" s="58"/>
      <c r="G170" s="66">
        <f t="shared" si="2"/>
        <v>0</v>
      </c>
    </row>
    <row r="171" spans="1:7">
      <c r="A171" s="74"/>
      <c r="B171" s="75"/>
      <c r="C171" s="58"/>
      <c r="D171" s="58"/>
      <c r="E171" s="58"/>
      <c r="F171" s="58"/>
      <c r="G171" s="66">
        <f t="shared" si="2"/>
        <v>0</v>
      </c>
    </row>
    <row r="172" spans="1:7" ht="15.6" thickBot="1">
      <c r="A172" s="76"/>
      <c r="B172" s="77"/>
      <c r="C172" s="78"/>
      <c r="D172" s="78"/>
      <c r="E172" s="78"/>
      <c r="F172" s="78"/>
      <c r="G172" s="70">
        <f t="shared" si="2"/>
        <v>0</v>
      </c>
    </row>
  </sheetData>
  <sheetProtection algorithmName="SHA-512" hashValue="2dOygSbCcM6TBIZRJJDsDnswkDMW5q0qxFbL0XundLrzxQwdoYeHa1R09BP6OkqDcGdXsVgwHeSLyHZrlrQbjw==" saltValue="gMjaQHneYpcS/21wMeE0qA==" spinCount="100000" sheet="1" objects="1" scenarios="1"/>
  <protectedRanges>
    <protectedRange sqref="A1:A3" name="Range2"/>
    <protectedRange sqref="A8:F172" name="Range1"/>
  </protectedRanges>
  <mergeCells count="3">
    <mergeCell ref="A6:A7"/>
    <mergeCell ref="B6:B7"/>
    <mergeCell ref="C6:G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F42EBED87894BA6353A5D332A035A" ma:contentTypeVersion="16" ma:contentTypeDescription="Create a new document." ma:contentTypeScope="" ma:versionID="ed61cc5115d53684961bcea25fb369fd">
  <xsd:schema xmlns:xsd="http://www.w3.org/2001/XMLSchema" xmlns:xs="http://www.w3.org/2001/XMLSchema" xmlns:p="http://schemas.microsoft.com/office/2006/metadata/properties" xmlns:ns2="a51af78e-0ea8-42cf-99ea-789e659ac0a8" xmlns:ns3="bd21fedf-4e2b-4d0b-ab6d-33a79d8c7815" targetNamespace="http://schemas.microsoft.com/office/2006/metadata/properties" ma:root="true" ma:fieldsID="1bdabb8e9751a4e27ac7e011a19c434a" ns2:_="" ns3:_="">
    <xsd:import namespace="a51af78e-0ea8-42cf-99ea-789e659ac0a8"/>
    <xsd:import namespace="bd21fedf-4e2b-4d0b-ab6d-33a79d8c7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af78e-0ea8-42cf-99ea-789e659ac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9856c8c-d880-4333-80a5-7924ae0cb8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1fedf-4e2b-4d0b-ab6d-33a79d8c7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c4692c-f4d1-4284-bf1d-5c433ab35025}" ma:internalName="TaxCatchAll" ma:showField="CatchAllData" ma:web="bd21fedf-4e2b-4d0b-ab6d-33a79d8c7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1fedf-4e2b-4d0b-ab6d-33a79d8c7815" xsi:nil="true"/>
    <lcf76f155ced4ddcb4097134ff3c332f xmlns="a51af78e-0ea8-42cf-99ea-789e659ac0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2EF3EE-DBCC-4A90-9DC3-60BEB086B936}"/>
</file>

<file path=customXml/itemProps2.xml><?xml version="1.0" encoding="utf-8"?>
<ds:datastoreItem xmlns:ds="http://schemas.openxmlformats.org/officeDocument/2006/customXml" ds:itemID="{2CD8BE96-5E2E-4842-A3A5-0E28717D4680}"/>
</file>

<file path=customXml/itemProps3.xml><?xml version="1.0" encoding="utf-8"?>
<ds:datastoreItem xmlns:ds="http://schemas.openxmlformats.org/officeDocument/2006/customXml" ds:itemID="{914A7FC6-9B12-47EB-B520-42C476192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Investintech.com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A2E_Engine</dc:creator>
  <cp:keywords/>
  <dc:description/>
  <cp:lastModifiedBy>Yemurai Ngwazikazana</cp:lastModifiedBy>
  <cp:revision/>
  <dcterms:created xsi:type="dcterms:W3CDTF">2022-03-03T02:26:49Z</dcterms:created>
  <dcterms:modified xsi:type="dcterms:W3CDTF">2022-09-01T07:41:40Z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0x010100F59F42EBED87894BA6353A5D332A035A</vt:lpwstr>
  </property>
</Properties>
</file>